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2" sheetId="1" r:id="rId5"/>
    <sheet state="visible" name="May 2022" sheetId="2" r:id="rId6"/>
    <sheet state="visible" name="June 2022" sheetId="3" r:id="rId7"/>
    <sheet state="visible" name="July 2022" sheetId="4" r:id="rId8"/>
    <sheet state="visible" name="August 2022" sheetId="5" r:id="rId9"/>
    <sheet state="visible" name="September 2022" sheetId="6" r:id="rId10"/>
    <sheet state="visible" name="October 2022" sheetId="7" r:id="rId11"/>
    <sheet state="visible" name="November 2022" sheetId="8" r:id="rId12"/>
    <sheet state="visible" name="December 2022" sheetId="9" r:id="rId13"/>
    <sheet state="visible" name="January 2023" sheetId="10" r:id="rId14"/>
    <sheet state="visible" name="February 2023" sheetId="11" r:id="rId15"/>
    <sheet state="visible" name="March 2023" sheetId="12" r:id="rId16"/>
    <sheet state="visible" name="April 2023" sheetId="13" r:id="rId17"/>
    <sheet state="visible" name="May 2023" sheetId="14" r:id="rId18"/>
    <sheet state="visible" name="June 2023" sheetId="15" r:id="rId19"/>
    <sheet state="visible" name="July 2023" sheetId="16" r:id="rId20"/>
    <sheet state="visible" name="August 2023" sheetId="17" r:id="rId21"/>
    <sheet state="visible" name="September 2023" sheetId="18" r:id="rId22"/>
    <sheet state="visible" name="October 2023" sheetId="19" r:id="rId23"/>
    <sheet state="visible" name="November 2023" sheetId="20" r:id="rId24"/>
    <sheet state="visible" name="December 2023" sheetId="21" r:id="rId25"/>
    <sheet state="visible" name="January 2024" sheetId="22" r:id="rId26"/>
    <sheet state="visible" name="Februrary 2024" sheetId="23" r:id="rId27"/>
    <sheet state="visible" name="March 2024" sheetId="24" r:id="rId28"/>
    <sheet state="visible" name="April 2024" sheetId="25" r:id="rId29"/>
    <sheet state="visible" name="May 2024" sheetId="26" r:id="rId30"/>
    <sheet state="visible" name="June 2024" sheetId="27" r:id="rId31"/>
    <sheet state="visible" name="July 2024" sheetId="28" r:id="rId32"/>
    <sheet state="visible" name="August 2024" sheetId="29" r:id="rId33"/>
    <sheet state="visible" name="September 2024" sheetId="30" r:id="rId34"/>
    <sheet state="visible" name="October 2024" sheetId="31" r:id="rId35"/>
    <sheet state="visible" name="November 2024" sheetId="32" r:id="rId36"/>
    <sheet state="visible" name="December 2024" sheetId="33" r:id="rId37"/>
    <sheet state="visible" name="January 2025" sheetId="34" r:id="rId38"/>
    <sheet state="visible" name="February 2025" sheetId="35" r:id="rId39"/>
    <sheet state="visible" name="March 2025" sheetId="36" r:id="rId40"/>
    <sheet state="visible" name="April 2025" sheetId="37" r:id="rId41"/>
    <sheet state="visible" name="May 2025" sheetId="38" r:id="rId42"/>
    <sheet state="visible" name="June 2025" sheetId="39" r:id="rId43"/>
    <sheet state="visible" name="July 2025" sheetId="40" r:id="rId44"/>
    <sheet state="visible" name="August 2025" sheetId="41" r:id="rId45"/>
    <sheet state="visible" name="September 2025" sheetId="42" r:id="rId46"/>
    <sheet state="visible" name="October 2025" sheetId="43" r:id="rId47"/>
    <sheet state="visible" name="November 2025" sheetId="44" r:id="rId48"/>
    <sheet state="visible" name="December 2025" sheetId="45" r:id="rId49"/>
    <sheet state="visible" name="January 2026" sheetId="46" r:id="rId50"/>
  </sheets>
  <definedNames/>
  <calcPr/>
</workbook>
</file>

<file path=xl/sharedStrings.xml><?xml version="1.0" encoding="utf-8"?>
<sst xmlns="http://schemas.openxmlformats.org/spreadsheetml/2006/main" count="3465" uniqueCount="488">
  <si>
    <t>S.No</t>
  </si>
  <si>
    <t>Staff Name</t>
  </si>
  <si>
    <t>Gross Salary</t>
  </si>
  <si>
    <t>Basic Pay</t>
  </si>
  <si>
    <t>Employee Contribution @ 12%</t>
  </si>
  <si>
    <t>Employer Contribution @ 13%</t>
  </si>
  <si>
    <t>Total PF</t>
  </si>
  <si>
    <t>Ms.DEEPA</t>
  </si>
  <si>
    <t>Ms.BAIRAVI</t>
  </si>
  <si>
    <t>Ms.VIJAYA</t>
  </si>
  <si>
    <t>Mr.PARANTHAMAN</t>
  </si>
  <si>
    <t>Mr.PRABHU</t>
  </si>
  <si>
    <t>Ms.KALPANA</t>
  </si>
  <si>
    <t>Ms.MALATHY MANOHAR</t>
  </si>
  <si>
    <t>Ms.AYESHA</t>
  </si>
  <si>
    <t>Mr.MADHANRAJ</t>
  </si>
  <si>
    <t>Ms.ESHWARI</t>
  </si>
  <si>
    <t>Ms.GOPIKA RAMANAN</t>
  </si>
  <si>
    <t>Ms.VIMALA</t>
  </si>
  <si>
    <t>Ms.VIJAYALAKSHMI</t>
  </si>
  <si>
    <t>Ms.MARAGATHAVALLI B</t>
  </si>
  <si>
    <t>Ms.KAVERI</t>
  </si>
  <si>
    <t>MR.SIVAPRAKASH R</t>
  </si>
  <si>
    <t>Ms.GOMATHI D</t>
  </si>
  <si>
    <t>Ms.PRASATH J</t>
  </si>
  <si>
    <t>Ms.SATHISHKUMAR</t>
  </si>
  <si>
    <t>Ms.BALKIS M</t>
  </si>
  <si>
    <t>Ms.PRISCILLA GOMEZ</t>
  </si>
  <si>
    <t>Ms.ARUNA V</t>
  </si>
  <si>
    <t>Mr.ARUL KUMAR M</t>
  </si>
  <si>
    <t>Ms.LITHIGA D</t>
  </si>
  <si>
    <t>Ms.GOMATHI</t>
  </si>
  <si>
    <t>Mr.SATHYAMOORTHY S</t>
  </si>
  <si>
    <t>Ms.MONISHA R</t>
  </si>
  <si>
    <t>Total</t>
  </si>
  <si>
    <t>Ms.SATHISHKUMAR (YOGA)</t>
  </si>
  <si>
    <t>Ms.SARITHA</t>
  </si>
  <si>
    <t>Ms.JAYALAKSHMI</t>
  </si>
  <si>
    <t>Ms.SHOBHA KUMARI</t>
  </si>
  <si>
    <t>Ms.MALICKA BEGUM</t>
  </si>
  <si>
    <t>Ms.SHARMITHA (DANCE)</t>
  </si>
  <si>
    <t>Ms.SHARMISTHA (DANCE)</t>
  </si>
  <si>
    <t>Ms.CHITRA</t>
  </si>
  <si>
    <t>Ms.SHALINI</t>
  </si>
  <si>
    <t>Mr.MOHAN (WESTERN DANCE)</t>
  </si>
  <si>
    <t>Mr.SATHISH (KARATHE)</t>
  </si>
  <si>
    <t>Mr.SATHISH KUMAR (KARATHE)</t>
  </si>
  <si>
    <t>Ms.AYESHA SAMREEN</t>
  </si>
  <si>
    <t>Ms.SHALINI K</t>
  </si>
  <si>
    <t>Ms.KANCHANA V</t>
  </si>
  <si>
    <t>Ms.USHA</t>
  </si>
  <si>
    <t>Mr.PREAM KUMAR</t>
  </si>
  <si>
    <t>Ms.SHYMALA PRIYA</t>
  </si>
  <si>
    <t>Ms.BANUPRIYA</t>
  </si>
  <si>
    <t>Ms.VENNILA</t>
  </si>
  <si>
    <t>Mr.SIVANESAN</t>
  </si>
  <si>
    <t>Ms.JAYARANI</t>
  </si>
  <si>
    <t>Mr.ASHOGAN (KARATHE)</t>
  </si>
  <si>
    <t>Mr.PERUMAL</t>
  </si>
  <si>
    <t>Mrs.SUMATHI J</t>
  </si>
  <si>
    <t>Mrs.NIVEDHITHA (CLASSICAL DANCE)</t>
  </si>
  <si>
    <t>Mr.SEENNIVASAN G</t>
  </si>
  <si>
    <t>Mr.PRABHU R</t>
  </si>
  <si>
    <t>Mr.SUNIL KUMAR CK</t>
  </si>
  <si>
    <t>Mrs.PRIYA J</t>
  </si>
  <si>
    <t>Mrs.MAYURI K</t>
  </si>
  <si>
    <t>Mrs.VIDHYA</t>
  </si>
  <si>
    <t>Mrs.GAUHAM D</t>
  </si>
  <si>
    <t>Mrs.KALAISELVI P.N (SILAMBAM)</t>
  </si>
  <si>
    <t>Mrs.AYESHA S</t>
  </si>
  <si>
    <t>Mrs.PAVITHRA</t>
  </si>
  <si>
    <t>Mrs.KALAIVANI</t>
  </si>
  <si>
    <t>Mrs.ARUL JANSI</t>
  </si>
  <si>
    <t>Mr.RANJITHKUMAR</t>
  </si>
  <si>
    <t>Mrs.VASANTHI</t>
  </si>
  <si>
    <t>Mrs.DIVYA</t>
  </si>
  <si>
    <t>Mr.KATHIRVEL</t>
  </si>
  <si>
    <t>Mr.IMAYA VARMAN</t>
  </si>
  <si>
    <t>Mr.PONMANIVANNAN</t>
  </si>
  <si>
    <t>Ms.VIJAYA K</t>
  </si>
  <si>
    <t>Ms.KALPANA A</t>
  </si>
  <si>
    <t>Ms.VIMALA M</t>
  </si>
  <si>
    <t>Ms.KAVERI V</t>
  </si>
  <si>
    <t>Ms.CHITRA K</t>
  </si>
  <si>
    <t>Ms.SHALINI R</t>
  </si>
  <si>
    <t>Mr.PREAM KUMAR S</t>
  </si>
  <si>
    <t>Ms.JAYARANI B</t>
  </si>
  <si>
    <t>Mrs.VIDHYA P</t>
  </si>
  <si>
    <t>Mrs.UMA P</t>
  </si>
  <si>
    <t>Mrs.KOKILA</t>
  </si>
  <si>
    <t>Mrs.VISHVASRI</t>
  </si>
  <si>
    <t>Ms.SANKARI</t>
  </si>
  <si>
    <t>Mr.SILAMBARSAN</t>
  </si>
  <si>
    <t>Mrs.DEEPIKA</t>
  </si>
  <si>
    <t>Mrs.MAHALAKSHMI</t>
  </si>
  <si>
    <t>Mr.DAMODIARAN</t>
  </si>
  <si>
    <t>Ms.SATHRIYA PRIYA V</t>
  </si>
  <si>
    <t>Ms.SHOBANA A</t>
  </si>
  <si>
    <t>Ms.SHALINI G</t>
  </si>
  <si>
    <t>Mr.MAGESH KUMAR M</t>
  </si>
  <si>
    <t>DEEPA</t>
  </si>
  <si>
    <t>BAIRAVI S</t>
  </si>
  <si>
    <t>DAMODIRAN P</t>
  </si>
  <si>
    <t>VIJAYA K</t>
  </si>
  <si>
    <t>PARANTHAMAN M</t>
  </si>
  <si>
    <t>KALPANA A</t>
  </si>
  <si>
    <t>MALATHY MANOHAR</t>
  </si>
  <si>
    <t>ESHWARI P</t>
  </si>
  <si>
    <t>GOPIKA RAMANAN M</t>
  </si>
  <si>
    <t>VIMALA M</t>
  </si>
  <si>
    <t>VIJAYALAKSHMI J</t>
  </si>
  <si>
    <t>KAVERI V</t>
  </si>
  <si>
    <t>SIVAPRAKASH R</t>
  </si>
  <si>
    <t>GOMATHI D</t>
  </si>
  <si>
    <t>PRASATH J</t>
  </si>
  <si>
    <t>SATHISHKUMAR S</t>
  </si>
  <si>
    <t>BALKIS M</t>
  </si>
  <si>
    <t>ARUNA V</t>
  </si>
  <si>
    <t>SARITHA S</t>
  </si>
  <si>
    <t>SHOBHA KUMARI</t>
  </si>
  <si>
    <t>MALICKA BEGUM M</t>
  </si>
  <si>
    <t>CHITRA K</t>
  </si>
  <si>
    <t>SHALINI R</t>
  </si>
  <si>
    <t>MOHAN</t>
  </si>
  <si>
    <t>AYESHA SAMREEN BI</t>
  </si>
  <si>
    <t>KANCHANA V</t>
  </si>
  <si>
    <t>PREAM KUMAR S</t>
  </si>
  <si>
    <t>JAYARANI B</t>
  </si>
  <si>
    <t>NIVETHIDHA</t>
  </si>
  <si>
    <t>PRIYA J</t>
  </si>
  <si>
    <t>MAYURI K</t>
  </si>
  <si>
    <t>VIDYA P</t>
  </si>
  <si>
    <t>GAUTHAM D</t>
  </si>
  <si>
    <t>KALAISELVI</t>
  </si>
  <si>
    <t>PAVITHRA M</t>
  </si>
  <si>
    <t>KALAIVANI S</t>
  </si>
  <si>
    <t>ARUL JANSI A</t>
  </si>
  <si>
    <t>RANJITH KUMAR S</t>
  </si>
  <si>
    <t>VASANTHI GM</t>
  </si>
  <si>
    <t>DIVYA S</t>
  </si>
  <si>
    <t>IMAYA VARAMAN R</t>
  </si>
  <si>
    <t>PONMANIVANNAN</t>
  </si>
  <si>
    <t>UMA P</t>
  </si>
  <si>
    <t>KOKILA S</t>
  </si>
  <si>
    <t>VISHVASRI N</t>
  </si>
  <si>
    <t>SILAMBARASAN K</t>
  </si>
  <si>
    <t>DEEPIKA C</t>
  </si>
  <si>
    <t>MAHALAKSHMI G</t>
  </si>
  <si>
    <t>SATHRIYA PRIYA V</t>
  </si>
  <si>
    <t>SHOBANA A</t>
  </si>
  <si>
    <t>SHALINI G</t>
  </si>
  <si>
    <t>MAGESH KUMAR M</t>
  </si>
  <si>
    <t>MANIVANNAN</t>
  </si>
  <si>
    <t>Gomathi s</t>
  </si>
  <si>
    <t>LITHIGA D</t>
  </si>
  <si>
    <t>SATHYAMOORTHY S</t>
  </si>
  <si>
    <t>BANUPRIYA V</t>
  </si>
  <si>
    <t>VENNILA D</t>
  </si>
  <si>
    <t>SIVANESAN</t>
  </si>
  <si>
    <t>SUNIL KUMAR C K</t>
  </si>
  <si>
    <t>PARTHASARATHY P</t>
  </si>
  <si>
    <t>KAVYA N</t>
  </si>
  <si>
    <t>SHEELA E</t>
  </si>
  <si>
    <t>BHARATH</t>
  </si>
  <si>
    <t>MAHENDHRI</t>
  </si>
  <si>
    <t>VANI</t>
  </si>
  <si>
    <t>ARTHY</t>
  </si>
  <si>
    <t>SUNIL KUMAR</t>
  </si>
  <si>
    <t>VEDHAVALLI</t>
  </si>
  <si>
    <t>JOSHIKA</t>
  </si>
  <si>
    <t>DINESH KUMAR</t>
  </si>
  <si>
    <t>SUBRAMANIYAM B</t>
  </si>
  <si>
    <t>BABUNAYAK</t>
  </si>
  <si>
    <t>SUBBARAYUDU M</t>
  </si>
  <si>
    <t>RAMMOHAN</t>
  </si>
  <si>
    <t>PALLAVI D</t>
  </si>
  <si>
    <t>SANGEETHA</t>
  </si>
  <si>
    <t>SUHASINI</t>
  </si>
  <si>
    <t>VANITHA</t>
  </si>
  <si>
    <t>VANISHREE</t>
  </si>
  <si>
    <t>PRASANTH P</t>
  </si>
  <si>
    <t>BHARATHI RANI Y</t>
  </si>
  <si>
    <t>MAGESHWARI</t>
  </si>
  <si>
    <t>BALA ABIRAMI</t>
  </si>
  <si>
    <t>GOMATHY D</t>
  </si>
  <si>
    <t>MAHALAKSHMI</t>
  </si>
  <si>
    <t>Pavithra</t>
  </si>
  <si>
    <t>RIBECCA</t>
  </si>
  <si>
    <t>ILAKIYA</t>
  </si>
  <si>
    <t>PREMATHALATHA</t>
  </si>
  <si>
    <t>MENAKA</t>
  </si>
  <si>
    <t>JAYALAKSHMI</t>
  </si>
  <si>
    <t>THARANI DEVI</t>
  </si>
  <si>
    <t>Ms. DEEPA THUKKARAMAN</t>
  </si>
  <si>
    <t>Mr. DAMODIRAN P</t>
  </si>
  <si>
    <t>Ms. BAIRAVI S</t>
  </si>
  <si>
    <t>Mr. SUBRAMANYAM B</t>
  </si>
  <si>
    <t>Mr. BABUNAYAK</t>
  </si>
  <si>
    <t>Mr. SUBBARAYUDU M</t>
  </si>
  <si>
    <t>Mr. RAM MOHAN</t>
  </si>
  <si>
    <t>Mr. PARANTHAMAN M</t>
  </si>
  <si>
    <t>Ms. MALICKA BEGUM M</t>
  </si>
  <si>
    <t>Mr. PREAM KUMAR S</t>
  </si>
  <si>
    <t>MS. ARUL JANSI A</t>
  </si>
  <si>
    <t>MR. RANJITH KUMAR S</t>
  </si>
  <si>
    <t>Ms. SILAMBARASAN K</t>
  </si>
  <si>
    <t>Ms. GOPIKARAMANAN M</t>
  </si>
  <si>
    <t>MR. SIVAPRAKASH R</t>
  </si>
  <si>
    <t>Ms. BALKIS M</t>
  </si>
  <si>
    <t>Ms. SHOBHA KUMARI</t>
  </si>
  <si>
    <t>Ms. KALPANA A</t>
  </si>
  <si>
    <t>Ms. KAVERI V</t>
  </si>
  <si>
    <t>Ms. SARITHA S</t>
  </si>
  <si>
    <t>MR. GAUTHAM D</t>
  </si>
  <si>
    <t>Ms. UMA P</t>
  </si>
  <si>
    <t>Ms. PALLAVI D</t>
  </si>
  <si>
    <t>Ms. VIJAYA K</t>
  </si>
  <si>
    <t>Ms. BHARATHI RANI Y</t>
  </si>
  <si>
    <t>Ms. VIMALA M</t>
  </si>
  <si>
    <t>Ms. ARUNA V</t>
  </si>
  <si>
    <t>Ms. KALAIVANI S</t>
  </si>
  <si>
    <t>Mr. MAGESH KUMAR M</t>
  </si>
  <si>
    <t>Ms. SHEELA E</t>
  </si>
  <si>
    <t>Ms. GOMATHI D</t>
  </si>
  <si>
    <t>Ms. SUHASINI</t>
  </si>
  <si>
    <t>Ms. MAHALAKSHMI</t>
  </si>
  <si>
    <t>Ms. ARTHY MB</t>
  </si>
  <si>
    <t>Ms. KALAISELVI S</t>
  </si>
  <si>
    <t>Ms. RIBECCA S</t>
  </si>
  <si>
    <t>Ms.ESHWARI P</t>
  </si>
  <si>
    <t>Ms. VANITHA</t>
  </si>
  <si>
    <t>Ms. MALATHY MANOHAR</t>
  </si>
  <si>
    <t>Ms. CHITRA K</t>
  </si>
  <si>
    <t>Ms. VIDYA P</t>
  </si>
  <si>
    <t>Ms. PRIYA J</t>
  </si>
  <si>
    <t>MS. DIVYA S</t>
  </si>
  <si>
    <t>Ms. SHALINI R</t>
  </si>
  <si>
    <t>Ms. SHALINI G</t>
  </si>
  <si>
    <t>Ms. PAVITHRA M</t>
  </si>
  <si>
    <t>Ms.KOKILA S</t>
  </si>
  <si>
    <t>Ms. MAHENDHRI R</t>
  </si>
  <si>
    <t>Ms. VANISHREE</t>
  </si>
  <si>
    <t>Ms. BALA ABIRAMI</t>
  </si>
  <si>
    <t>Ms. MAGESHWARI</t>
  </si>
  <si>
    <t>Ms.ILAKIYA</t>
  </si>
  <si>
    <t>Ms.PREMALATHA</t>
  </si>
  <si>
    <t>Ms.MENAKA A</t>
  </si>
  <si>
    <t>Ms.THARANI DEVI</t>
  </si>
  <si>
    <t>Mr. PRASATH J</t>
  </si>
  <si>
    <t>Mr. PRASANTH P</t>
  </si>
  <si>
    <t>Mr.IMAYA VARAMAN R</t>
  </si>
  <si>
    <t>Ms.VIJAYALAKSHMI J</t>
  </si>
  <si>
    <t>Ms. SARALA S</t>
  </si>
  <si>
    <t>Ms. KEERTHANA G</t>
  </si>
  <si>
    <t>Mr. SUDHARSAN B</t>
  </si>
  <si>
    <t>Ms.BANUPRIYA V</t>
  </si>
  <si>
    <t>Ms.VENNILA D</t>
  </si>
  <si>
    <t>Mr. SUNIL KUMAR A</t>
  </si>
  <si>
    <t>Ms. KAVYA N</t>
  </si>
  <si>
    <t>MR. PARTHASARATHY P</t>
  </si>
  <si>
    <t>Ms. SANGEETHA R</t>
  </si>
  <si>
    <t>Ms. PUNITHA</t>
  </si>
  <si>
    <t>Ms. KIRUTHIGA A</t>
  </si>
  <si>
    <t>Ms. SHAHNAAZ K</t>
  </si>
  <si>
    <t>Ms. AKSHAYA R</t>
  </si>
  <si>
    <t>Ms. GOWRI P</t>
  </si>
  <si>
    <t>Mr.MOHAN</t>
  </si>
  <si>
    <t>Ms.SATHISHKUMAR S</t>
  </si>
  <si>
    <t>Ms. NIVETHIDHA</t>
  </si>
  <si>
    <t>MS. BHARATH</t>
  </si>
  <si>
    <t>MR.MANIVANNAN</t>
  </si>
  <si>
    <t>Ms. VANI S</t>
  </si>
  <si>
    <t>Ms. MAHALAKSHMI KARTHIKEYAN</t>
  </si>
  <si>
    <t>Ms. INDU</t>
  </si>
  <si>
    <t>Ms. PAPITHA</t>
  </si>
  <si>
    <t>Ms. SHANKARI V</t>
  </si>
  <si>
    <t>Ms. MEENAKSHI KVN</t>
  </si>
  <si>
    <t>Ms. BANU P</t>
  </si>
  <si>
    <t>Ms. SHANKARI P</t>
  </si>
  <si>
    <t>Mr. MUKESH RAJA K</t>
  </si>
  <si>
    <t>Ms. RENUKA</t>
  </si>
  <si>
    <t>Ms. NIRMALA RANI</t>
  </si>
  <si>
    <t>Mr. MOHAN</t>
  </si>
  <si>
    <t>Mr. SATHISHKUMAR S</t>
  </si>
  <si>
    <t>Mr. BHARATH</t>
  </si>
  <si>
    <t>Mr. MANIVANNAN</t>
  </si>
  <si>
    <t>Ms. Deepa Thukkaraman</t>
  </si>
  <si>
    <t>Ms. Bairavi S</t>
  </si>
  <si>
    <t>Ms. Arul Jansi A</t>
  </si>
  <si>
    <t>Mr. Sivaprakash R</t>
  </si>
  <si>
    <t>Ms. Sheela E</t>
  </si>
  <si>
    <t>Mr. Magesh Kumar M</t>
  </si>
  <si>
    <t>Ms.Eshwari P</t>
  </si>
  <si>
    <t>Ms. Shalini R</t>
  </si>
  <si>
    <t>Mr. Subramanyam B</t>
  </si>
  <si>
    <t>Mr. Babunayak</t>
  </si>
  <si>
    <t>Mr. Subbarayudu M</t>
  </si>
  <si>
    <t>Mr. Ram Mohan</t>
  </si>
  <si>
    <t>Ms. Malicka Begum M</t>
  </si>
  <si>
    <t>Mr. Gautham D</t>
  </si>
  <si>
    <t>Ms. Kalpana A</t>
  </si>
  <si>
    <t>Ms. Balkis M</t>
  </si>
  <si>
    <t>Ms. Shobha Kumari</t>
  </si>
  <si>
    <t>Ms. Uma P</t>
  </si>
  <si>
    <t>Mr. Pream Kumar S</t>
  </si>
  <si>
    <t>Mr. Ranjith Kumar S</t>
  </si>
  <si>
    <t>Ms. Gopikaramanan M</t>
  </si>
  <si>
    <t>Mr. Paranthaman M</t>
  </si>
  <si>
    <t>Ms. Kaveri V</t>
  </si>
  <si>
    <t>Ms. Saritha S</t>
  </si>
  <si>
    <t>Ms. Sarala S</t>
  </si>
  <si>
    <t>Ms. Vijaya K</t>
  </si>
  <si>
    <t>Ms. Gomathi D</t>
  </si>
  <si>
    <t>Ms.Jayarani B</t>
  </si>
  <si>
    <t>Ms. Suhasini</t>
  </si>
  <si>
    <t>Ms. Aruna V</t>
  </si>
  <si>
    <t>Ms. Kavya N</t>
  </si>
  <si>
    <t>Ms. Kalaivani S</t>
  </si>
  <si>
    <t>Mr. Mukesh Raja K</t>
  </si>
  <si>
    <t>Ms. Vimala M</t>
  </si>
  <si>
    <t>Ms. Bharathi Rani Y</t>
  </si>
  <si>
    <t>Ms. Arthy Mb</t>
  </si>
  <si>
    <t>Ms. Keerthana G</t>
  </si>
  <si>
    <t>Ms.Premalatha</t>
  </si>
  <si>
    <t>Ms.Ilakiya</t>
  </si>
  <si>
    <t>Ms. Shankari P</t>
  </si>
  <si>
    <t>Ms. Ribecca S</t>
  </si>
  <si>
    <t>Ms. Gowri P</t>
  </si>
  <si>
    <t>Ms. Malathy Manohar</t>
  </si>
  <si>
    <t>Ms. Vidya P</t>
  </si>
  <si>
    <t>Ms. Priya J</t>
  </si>
  <si>
    <t>Ms. Mageshwari</t>
  </si>
  <si>
    <t>Ms. Vanitha</t>
  </si>
  <si>
    <t>Ms. Kalaiselvi S</t>
  </si>
  <si>
    <t>Ms. Papitha</t>
  </si>
  <si>
    <t>Ms. Banu P</t>
  </si>
  <si>
    <t>Ms. Renuka</t>
  </si>
  <si>
    <t>Ms. Nirmala Rani</t>
  </si>
  <si>
    <t>Ms. Mahendhri R</t>
  </si>
  <si>
    <t>Ms. Pavithra M</t>
  </si>
  <si>
    <t>Ms.Kokila S</t>
  </si>
  <si>
    <t>Ms. Divya S</t>
  </si>
  <si>
    <t>Ms. Shalini G</t>
  </si>
  <si>
    <t>Ms. Bala Abirami</t>
  </si>
  <si>
    <t>Ms. Jayalakshmi</t>
  </si>
  <si>
    <t>Ms. Vanishree</t>
  </si>
  <si>
    <t>Ms.Tharani Devi</t>
  </si>
  <si>
    <t>Ms. Indu</t>
  </si>
  <si>
    <t>Ms. Shankari V</t>
  </si>
  <si>
    <t>Ms.Menaka A</t>
  </si>
  <si>
    <t>Mr. Prasath J</t>
  </si>
  <si>
    <t>Ms. Sathriya Priya V</t>
  </si>
  <si>
    <t>Mr. Prasanth P</t>
  </si>
  <si>
    <t>Mr. Imaya Varaman R</t>
  </si>
  <si>
    <t>Ms. Vijayalakshmi J</t>
  </si>
  <si>
    <t>Mr. Rajarathinam R</t>
  </si>
  <si>
    <t>Mr. Mohan</t>
  </si>
  <si>
    <t>Mr. Sathishkumar S</t>
  </si>
  <si>
    <t>Ms. Nivethidha</t>
  </si>
  <si>
    <t>Mr. Vijayan K</t>
  </si>
  <si>
    <t>Mr. Manivannan</t>
  </si>
  <si>
    <t>Ms. Vani S</t>
  </si>
  <si>
    <t>Ms.Banupriya V</t>
  </si>
  <si>
    <t>Mr.Sathyamoorthy S</t>
  </si>
  <si>
    <t>Ms.Lithiga D</t>
  </si>
  <si>
    <t>Ms.Vennila D</t>
  </si>
  <si>
    <t>Mr. Sunil Kumar A</t>
  </si>
  <si>
    <t>Ms. Sangeetha R</t>
  </si>
  <si>
    <t>Ms. Punitha</t>
  </si>
  <si>
    <t>Ms. Kiruthiga A</t>
  </si>
  <si>
    <t>Ms. Shahnaaz K</t>
  </si>
  <si>
    <t>Ms. Kishore R</t>
  </si>
  <si>
    <t>Ms. Revival Queen</t>
  </si>
  <si>
    <t>Mr. Jaichandar</t>
  </si>
  <si>
    <t>Mr. Vijay</t>
  </si>
  <si>
    <t>Ms. Shobana A</t>
  </si>
  <si>
    <t>Mr. Manoj</t>
  </si>
  <si>
    <t>Ms. NANDHINI</t>
  </si>
  <si>
    <t>Mr. ARUN I</t>
  </si>
  <si>
    <t>Mr. Aun I</t>
  </si>
  <si>
    <t>Ms. Karpagam M</t>
  </si>
  <si>
    <t>Ms. ANOOP</t>
  </si>
  <si>
    <t>Ms. ESHWARI P</t>
  </si>
  <si>
    <t>Ms. BANUPRIYA V</t>
  </si>
  <si>
    <t>Mr. SATHYAMOORTHY S</t>
  </si>
  <si>
    <t>Ms. KARPAGAM M</t>
  </si>
  <si>
    <t>Mr. MANOJ</t>
  </si>
  <si>
    <t>Mr. LEENA KUMARAN</t>
  </si>
  <si>
    <t>Ms. NETHU</t>
  </si>
  <si>
    <t>Ms. KAVIYA PRIYA</t>
  </si>
  <si>
    <t>Ms. VENNILA D</t>
  </si>
  <si>
    <t>Ms. Anoop</t>
  </si>
  <si>
    <t>Ms. Eshwari P</t>
  </si>
  <si>
    <t>Ms. Nandhini</t>
  </si>
  <si>
    <t>Mr. Jaswanth Kumar</t>
  </si>
  <si>
    <t>Mr. Rajesh</t>
  </si>
  <si>
    <t>Ms. Heena Kauser</t>
  </si>
  <si>
    <t>Ms. Padma Priya</t>
  </si>
  <si>
    <t>Ms. Sangeetha</t>
  </si>
  <si>
    <t>Ms. Priyadharshini</t>
  </si>
  <si>
    <t>Ms. Dhivya G</t>
  </si>
  <si>
    <t>Ms. Kalaiselvi M</t>
  </si>
  <si>
    <t>Ms. Haajjaraa Tasnim</t>
  </si>
  <si>
    <t>Ms. Gowtham</t>
  </si>
  <si>
    <t>Ms. Indira</t>
  </si>
  <si>
    <t>Ms. Banupriya V</t>
  </si>
  <si>
    <t>Mr. Sathyamoorthy S</t>
  </si>
  <si>
    <t>Mr. Leena Kumaran</t>
  </si>
  <si>
    <t>Ms. Nethu</t>
  </si>
  <si>
    <t>Ms. Kaviya Priya</t>
  </si>
  <si>
    <t>Mr. Sanjay Prasath</t>
  </si>
  <si>
    <t>Mr. Mohan - AD</t>
  </si>
  <si>
    <t>Mr. JASWANTH KUMAR D</t>
  </si>
  <si>
    <t>Mr. RAJESH ANANGI A</t>
  </si>
  <si>
    <t>Mr. RAJARATHINAM R</t>
  </si>
  <si>
    <t>Ms. GOWTHAM</t>
  </si>
  <si>
    <t>Ms. INDIRA</t>
  </si>
  <si>
    <t>Ms. DHIVYA G</t>
  </si>
  <si>
    <t>Ms. PADMA PRIYA</t>
  </si>
  <si>
    <t>Ms. HAAJJARAA TASNIM</t>
  </si>
  <si>
    <t>Ms. HEENA KAUSER</t>
  </si>
  <si>
    <t>Ms. REVIVAL QUEEN</t>
  </si>
  <si>
    <t>Ms. SATHRIYA PRIYA V</t>
  </si>
  <si>
    <t>Ms. PRIYADHARSHINI T</t>
  </si>
  <si>
    <t>Ms. SANGEETHA</t>
  </si>
  <si>
    <t>Ms. VIJAYALAKSHMI J</t>
  </si>
  <si>
    <t>Mr. IMAYA VARAMAN R</t>
  </si>
  <si>
    <t>Ms. SANJANA MS</t>
  </si>
  <si>
    <t>Ms. RIMY VINCENT</t>
  </si>
  <si>
    <t>Mr. RAGUVARAN J</t>
  </si>
  <si>
    <t>Ms. SUDHA B</t>
  </si>
  <si>
    <t>Mr. KALAIYARASI U</t>
  </si>
  <si>
    <t>Ms. KOMATHI S</t>
  </si>
  <si>
    <t>Ms. EPSIBHA</t>
  </si>
  <si>
    <t>Ms. JOSEMINI K</t>
  </si>
  <si>
    <t>Mr. VIJAYAN K</t>
  </si>
  <si>
    <t>Ms. KISHORE R</t>
  </si>
  <si>
    <t>Mr. SANJAY PRASATH</t>
  </si>
  <si>
    <t>Mr. SHIRAN KRISHNAN</t>
  </si>
  <si>
    <t>Mr. MARUN R</t>
  </si>
  <si>
    <t>Mr. JAICHANDAR</t>
  </si>
  <si>
    <t>Mr. VIJAY</t>
  </si>
  <si>
    <t>Ms. KAVERI</t>
  </si>
  <si>
    <t>Ms. SANGEETHA S</t>
  </si>
  <si>
    <t>Ms. JOSEMINI</t>
  </si>
  <si>
    <t>Ms. SULTHANA BEGAM</t>
  </si>
  <si>
    <t>Ms. VANITHA A</t>
  </si>
  <si>
    <t>Ms. REVATHI</t>
  </si>
  <si>
    <t>Ms. SANGEETHA K</t>
  </si>
  <si>
    <t>Ms. RUTH N</t>
  </si>
  <si>
    <t>Ms. VELMURUGAN</t>
  </si>
  <si>
    <t>Ms. KARTHIKEYAN</t>
  </si>
  <si>
    <t>Ms. SWETHA B</t>
  </si>
  <si>
    <t>Ms. HEMALATHA K</t>
  </si>
  <si>
    <t>Mr. RAHUMATH RAHIM</t>
  </si>
  <si>
    <t>Ms. MOHANA PRIYA</t>
  </si>
  <si>
    <t>Ms. SUMATHI</t>
  </si>
  <si>
    <t>Ms. RAJESH R</t>
  </si>
  <si>
    <t>Ms. NEETHU</t>
  </si>
  <si>
    <t>Ms. RASHITHA</t>
  </si>
  <si>
    <t>Ms. LOGESWARI</t>
  </si>
  <si>
    <t>MS.RASHITHA R</t>
  </si>
  <si>
    <t>MS.RISWANA BEGUM</t>
  </si>
  <si>
    <t>MS.JAMUNA P</t>
  </si>
  <si>
    <t>Ms. RAJESH T</t>
  </si>
  <si>
    <t>Ms. NEETHU SREEDHAR</t>
  </si>
  <si>
    <t>Ms. LOGESWARI U</t>
  </si>
  <si>
    <t>MS.ABINAYA V</t>
  </si>
  <si>
    <t>MS.ARCHANA VIJAYA</t>
  </si>
  <si>
    <t>MS.SWETHA P</t>
  </si>
  <si>
    <t>MS.SANOBAR THABASSUM</t>
  </si>
  <si>
    <t>MS.ASHWINEE V</t>
  </si>
  <si>
    <t>Mr. MANOJ S</t>
  </si>
  <si>
    <t>Ms. PUNITHA S</t>
  </si>
  <si>
    <t>MS.ARCHANA VIJAY</t>
  </si>
  <si>
    <t>MR.KARTHIK J</t>
  </si>
  <si>
    <t>Mr. ANOOP</t>
  </si>
  <si>
    <t>MS.FOUZIYA Z</t>
  </si>
  <si>
    <t>Mr. MOHAN R</t>
  </si>
  <si>
    <t>MR. MOHAN M</t>
  </si>
  <si>
    <t>MS.VIJAYA K</t>
  </si>
  <si>
    <t>MR.CIBI</t>
  </si>
  <si>
    <t>MS.DIVYA B</t>
  </si>
  <si>
    <t>MR.SATHISH M</t>
  </si>
  <si>
    <t>MS.SOFIA ANJUM</t>
  </si>
  <si>
    <t>Ms. VIJAYA K(TAMIL)</t>
  </si>
  <si>
    <t>MS.DEVI R</t>
  </si>
  <si>
    <t>MS.PRIYANKA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</si>
</sst>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20">
    <font>
      <sz val="10.0"/>
      <color rgb="FF000000"/>
      <name val="Arial"/>
      <scheme val="minor"/>
    </font>
    <font>
      <sz val="12.0"/>
      <color rgb="FF0000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u/>
      <sz val="12.0"/>
      <color rgb="FF0000FF"/>
      <name val="Times New Roman"/>
    </font>
    <font>
      <sz val="11.0"/>
      <color theme="1"/>
      <name val="Calibri"/>
    </font>
    <font>
      <sz val="11.0"/>
      <color theme="1"/>
      <name val="Times New Roman"/>
    </font>
    <font>
      <sz val="12.0"/>
      <color theme="1"/>
      <name val="Cambria"/>
    </font>
    <font>
      <sz val="12.0"/>
      <color rgb="FF000000"/>
      <name val="Cambria"/>
    </font>
    <font>
      <sz val="11.0"/>
      <color rgb="FF0D0D0D"/>
      <name val="Times New Roman"/>
    </font>
    <font>
      <sz val="11.0"/>
      <color rgb="FF0D0D0D"/>
      <name val="&quot;Times New Roman&quot;"/>
    </font>
    <font>
      <sz val="11.0"/>
      <color rgb="FF000000"/>
      <name val="Calibri"/>
    </font>
    <font>
      <sz val="11.0"/>
      <color rgb="FF0C0C0C"/>
      <name val="&quot;Times New Roman&quot;"/>
    </font>
    <font>
      <sz val="11.0"/>
      <color rgb="FF0C0C0C"/>
      <name val="Times New Roman"/>
    </font>
    <font>
      <b/>
      <sz val="11.0"/>
      <color rgb="FF0B5394"/>
      <name val="Times New Roman"/>
    </font>
    <font>
      <b/>
      <sz val="11.0"/>
      <color theme="1"/>
      <name val="Times New Roman"/>
    </font>
    <font>
      <sz val="12.0"/>
      <color rgb="FFFF0000"/>
      <name val="Cambria"/>
    </font>
    <font>
      <b/>
      <sz val="12.0"/>
      <color theme="1"/>
      <name val="Cambria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783F04"/>
        <bgColor rgb="FF783F04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5B9BD5"/>
        <bgColor rgb="FF5B9BD5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  <fill>
      <patternFill patternType="solid">
        <fgColor rgb="FF7F6000"/>
        <bgColor rgb="FF7F6000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1" fillId="0" fontId="2" numFmtId="3" xfId="0" applyBorder="1" applyFont="1" applyNumberFormat="1"/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0" fontId="3" numFmtId="3" xfId="0" applyBorder="1" applyFont="1" applyNumberFormat="1"/>
    <xf borderId="0" fillId="0" fontId="2" numFmtId="0" xfId="0" applyAlignment="1" applyFont="1">
      <alignment horizontal="center"/>
    </xf>
    <xf borderId="0" fillId="0" fontId="2" numFmtId="3" xfId="0" applyFont="1" applyNumberFormat="1"/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Border="1" applyFont="1"/>
    <xf borderId="1" fillId="0" fontId="6" numFmtId="3" xfId="0" applyAlignment="1" applyBorder="1" applyFont="1" applyNumberFormat="1">
      <alignment horizontal="right" vertical="bottom"/>
    </xf>
    <xf borderId="1" fillId="0" fontId="6" numFmtId="3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vertical="bottom"/>
    </xf>
    <xf borderId="1" fillId="0" fontId="7" numFmtId="3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2" fontId="7" numFmtId="0" xfId="0" applyAlignment="1" applyBorder="1" applyFill="1" applyFont="1">
      <alignment vertical="bottom"/>
    </xf>
    <xf borderId="1" fillId="2" fontId="7" numFmtId="3" xfId="0" applyAlignment="1" applyBorder="1" applyFont="1" applyNumberFormat="1">
      <alignment horizontal="right" vertical="bottom"/>
    </xf>
    <xf borderId="1" fillId="2" fontId="8" numFmtId="0" xfId="0" applyAlignment="1" applyBorder="1" applyFont="1">
      <alignment vertical="bottom"/>
    </xf>
    <xf borderId="1" fillId="2" fontId="9" numFmtId="1" xfId="0" applyAlignment="1" applyBorder="1" applyFont="1" applyNumberFormat="1">
      <alignment horizontal="center" readingOrder="0" vertical="bottom"/>
    </xf>
    <xf borderId="4" fillId="2" fontId="9" numFmtId="1" xfId="0" applyAlignment="1" applyBorder="1" applyFont="1" applyNumberFormat="1">
      <alignment horizontal="center" readingOrder="0" vertical="bottom"/>
    </xf>
    <xf borderId="4" fillId="2" fontId="9" numFmtId="3" xfId="0" applyAlignment="1" applyBorder="1" applyFont="1" applyNumberFormat="1">
      <alignment horizontal="center" readingOrder="0" vertical="bottom"/>
    </xf>
    <xf borderId="1" fillId="2" fontId="8" numFmtId="0" xfId="0" applyAlignment="1" applyBorder="1" applyFont="1">
      <alignment vertical="bottom"/>
    </xf>
    <xf borderId="1" fillId="2" fontId="9" numFmtId="3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center"/>
    </xf>
    <xf borderId="1" fillId="0" fontId="10" numFmtId="0" xfId="0" applyAlignment="1" applyBorder="1" applyFont="1">
      <alignment vertical="bottom"/>
    </xf>
    <xf borderId="1" fillId="0" fontId="11" numFmtId="3" xfId="0" applyAlignment="1" applyBorder="1" applyFont="1" applyNumberFormat="1">
      <alignment horizontal="right" readingOrder="0" vertical="bottom"/>
    </xf>
    <xf borderId="4" fillId="0" fontId="11" numFmtId="3" xfId="0" applyAlignment="1" applyBorder="1" applyFont="1" applyNumberFormat="1">
      <alignment horizontal="right" readingOrder="0" vertical="bottom"/>
    </xf>
    <xf borderId="1" fillId="0" fontId="10" numFmtId="0" xfId="0" applyAlignment="1" applyBorder="1" applyFont="1">
      <alignment vertical="bottom"/>
    </xf>
    <xf borderId="5" fillId="2" fontId="8" numFmtId="0" xfId="0" applyAlignment="1" applyBorder="1" applyFont="1">
      <alignment vertical="bottom"/>
    </xf>
    <xf borderId="1" fillId="0" fontId="12" numFmtId="3" xfId="0" applyAlignment="1" applyBorder="1" applyFont="1" applyNumberFormat="1">
      <alignment horizontal="right" readingOrder="0" vertical="bottom"/>
    </xf>
    <xf borderId="4" fillId="0" fontId="12" numFmtId="3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vertical="bottom"/>
    </xf>
    <xf borderId="1" fillId="0" fontId="13" numFmtId="3" xfId="0" applyAlignment="1" applyBorder="1" applyFont="1" applyNumberFormat="1">
      <alignment horizontal="right" readingOrder="0" vertical="bottom"/>
    </xf>
    <xf borderId="4" fillId="0" fontId="13" numFmtId="3" xfId="0" applyAlignment="1" applyBorder="1" applyFont="1" applyNumberFormat="1">
      <alignment horizontal="right" readingOrder="0" vertical="bottom"/>
    </xf>
    <xf borderId="1" fillId="3" fontId="8" numFmtId="0" xfId="0" applyAlignment="1" applyBorder="1" applyFill="1" applyFont="1">
      <alignment vertical="bottom"/>
    </xf>
    <xf borderId="1" fillId="0" fontId="14" numFmtId="0" xfId="0" applyAlignment="1" applyBorder="1" applyFont="1">
      <alignment vertical="bottom"/>
    </xf>
    <xf borderId="4" fillId="0" fontId="13" numFmtId="164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vertical="bottom"/>
    </xf>
    <xf borderId="1" fillId="2" fontId="14" numFmtId="0" xfId="0" applyAlignment="1" applyBorder="1" applyFont="1">
      <alignment vertical="bottom"/>
    </xf>
    <xf borderId="6" fillId="2" fontId="14" numFmtId="0" xfId="0" applyAlignment="1" applyBorder="1" applyFont="1">
      <alignment vertical="bottom"/>
    </xf>
    <xf borderId="1" fillId="0" fontId="15" numFmtId="164" xfId="0" applyAlignment="1" applyBorder="1" applyFont="1" applyNumberFormat="1">
      <alignment vertical="bottom"/>
    </xf>
    <xf borderId="6" fillId="0" fontId="14" numFmtId="0" xfId="0" applyAlignment="1" applyBorder="1" applyFont="1">
      <alignment vertical="bottom"/>
    </xf>
    <xf borderId="1" fillId="0" fontId="14" numFmtId="0" xfId="0" applyAlignment="1" applyBorder="1" applyFont="1">
      <alignment readingOrder="0" vertical="bottom"/>
    </xf>
    <xf borderId="1" fillId="2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" fillId="2" fontId="7" numFmtId="3" xfId="0" applyAlignment="1" applyBorder="1" applyFont="1" applyNumberFormat="1">
      <alignment vertical="bottom"/>
    </xf>
    <xf borderId="1" fillId="4" fontId="7" numFmtId="3" xfId="0" applyAlignment="1" applyBorder="1" applyFill="1" applyFont="1" applyNumberFormat="1">
      <alignment vertical="bottom"/>
    </xf>
    <xf borderId="1" fillId="4" fontId="16" numFmtId="3" xfId="0" applyAlignment="1" applyBorder="1" applyFont="1" applyNumberFormat="1">
      <alignment vertical="bottom"/>
    </xf>
    <xf borderId="1" fillId="5" fontId="8" numFmtId="0" xfId="0" applyAlignment="1" applyBorder="1" applyFill="1" applyFont="1">
      <alignment vertical="bottom"/>
    </xf>
    <xf borderId="6" fillId="4" fontId="7" numFmtId="3" xfId="0" applyAlignment="1" applyBorder="1" applyFont="1" applyNumberFormat="1">
      <alignment vertical="bottom"/>
    </xf>
    <xf borderId="5" fillId="2" fontId="8" numFmtId="0" xfId="0" applyAlignment="1" applyBorder="1" applyFont="1">
      <alignment vertical="bottom"/>
    </xf>
    <xf borderId="5" fillId="6" fontId="17" numFmtId="0" xfId="0" applyAlignment="1" applyBorder="1" applyFill="1" applyFont="1">
      <alignment vertical="bottom"/>
    </xf>
    <xf borderId="1" fillId="4" fontId="14" numFmtId="3" xfId="0" applyAlignment="1" applyBorder="1" applyFont="1" applyNumberFormat="1">
      <alignment vertical="bottom"/>
    </xf>
    <xf borderId="1" fillId="2" fontId="14" numFmtId="3" xfId="0" applyAlignment="1" applyBorder="1" applyFont="1" applyNumberFormat="1">
      <alignment vertical="bottom"/>
    </xf>
    <xf borderId="5" fillId="0" fontId="18" numFmtId="0" xfId="0" applyAlignment="1" applyBorder="1" applyFont="1">
      <alignment vertical="bottom"/>
    </xf>
    <xf borderId="5" fillId="7" fontId="8" numFmtId="0" xfId="0" applyAlignment="1" applyBorder="1" applyFill="1" applyFont="1">
      <alignment vertical="bottom"/>
    </xf>
    <xf borderId="1" fillId="8" fontId="8" numFmtId="0" xfId="0" applyAlignment="1" applyBorder="1" applyFill="1" applyFont="1">
      <alignment vertical="bottom"/>
    </xf>
    <xf borderId="1" fillId="8" fontId="8" numFmtId="3" xfId="0" applyAlignment="1" applyBorder="1" applyFont="1" applyNumberFormat="1">
      <alignment horizontal="center" vertical="bottom"/>
    </xf>
    <xf borderId="1" fillId="2" fontId="8" numFmtId="3" xfId="0" applyAlignment="1" applyBorder="1" applyFont="1" applyNumberFormat="1">
      <alignment horizontal="center" vertical="bottom"/>
    </xf>
    <xf borderId="1" fillId="9" fontId="8" numFmtId="0" xfId="0" applyAlignment="1" applyBorder="1" applyFill="1" applyFont="1">
      <alignment vertical="bottom"/>
    </xf>
    <xf borderId="1" fillId="9" fontId="8" numFmtId="3" xfId="0" applyAlignment="1" applyBorder="1" applyFont="1" applyNumberFormat="1">
      <alignment horizontal="center" vertical="bottom"/>
    </xf>
    <xf borderId="1" fillId="10" fontId="8" numFmtId="0" xfId="0" applyAlignment="1" applyBorder="1" applyFill="1" applyFont="1">
      <alignment vertical="bottom"/>
    </xf>
    <xf borderId="1" fillId="10" fontId="8" numFmtId="3" xfId="0" applyAlignment="1" applyBorder="1" applyFont="1" applyNumberFormat="1">
      <alignment horizontal="center" vertical="bottom"/>
    </xf>
    <xf borderId="1" fillId="11" fontId="8" numFmtId="0" xfId="0" applyAlignment="1" applyBorder="1" applyFill="1" applyFont="1">
      <alignment vertical="bottom"/>
    </xf>
    <xf borderId="1" fillId="11" fontId="8" numFmtId="3" xfId="0" applyAlignment="1" applyBorder="1" applyFont="1" applyNumberFormat="1">
      <alignment horizontal="center" vertical="bottom"/>
    </xf>
    <xf borderId="1" fillId="12" fontId="8" numFmtId="0" xfId="0" applyAlignment="1" applyBorder="1" applyFill="1" applyFont="1">
      <alignment vertical="bottom"/>
    </xf>
    <xf borderId="1" fillId="12" fontId="8" numFmtId="3" xfId="0" applyAlignment="1" applyBorder="1" applyFont="1" applyNumberFormat="1">
      <alignment horizontal="center" vertical="bottom"/>
    </xf>
    <xf borderId="1" fillId="8" fontId="8" numFmtId="0" xfId="0" applyAlignment="1" applyBorder="1" applyFont="1">
      <alignment vertical="bottom"/>
    </xf>
    <xf borderId="1" fillId="13" fontId="8" numFmtId="0" xfId="0" applyAlignment="1" applyBorder="1" applyFill="1" applyFont="1">
      <alignment vertical="bottom"/>
    </xf>
    <xf borderId="1" fillId="13" fontId="8" numFmtId="3" xfId="0" applyAlignment="1" applyBorder="1" applyFont="1" applyNumberFormat="1">
      <alignment horizontal="center" vertical="bottom"/>
    </xf>
    <xf borderId="1" fillId="5" fontId="8" numFmtId="0" xfId="0" applyAlignment="1" applyBorder="1" applyFont="1">
      <alignment vertical="bottom"/>
    </xf>
    <xf borderId="1" fillId="5" fontId="8" numFmtId="3" xfId="0" applyAlignment="1" applyBorder="1" applyFont="1" applyNumberFormat="1">
      <alignment horizontal="center" vertical="bottom"/>
    </xf>
    <xf borderId="1" fillId="10" fontId="8" numFmtId="0" xfId="0" applyAlignment="1" applyBorder="1" applyFont="1">
      <alignment vertical="bottom"/>
    </xf>
    <xf borderId="1" fillId="3" fontId="8" numFmtId="3" xfId="0" applyAlignment="1" applyBorder="1" applyFont="1" applyNumberFormat="1">
      <alignment horizontal="center" vertical="bottom"/>
    </xf>
    <xf borderId="1" fillId="14" fontId="8" numFmtId="0" xfId="0" applyAlignment="1" applyBorder="1" applyFill="1" applyFont="1">
      <alignment vertical="bottom"/>
    </xf>
    <xf borderId="1" fillId="14" fontId="8" numFmtId="3" xfId="0" applyAlignment="1" applyBorder="1" applyFont="1" applyNumberFormat="1">
      <alignment horizontal="center" vertical="bottom"/>
    </xf>
    <xf borderId="1" fillId="15" fontId="8" numFmtId="0" xfId="0" applyAlignment="1" applyBorder="1" applyFill="1" applyFont="1">
      <alignment vertical="bottom"/>
    </xf>
    <xf borderId="1" fillId="15" fontId="8" numFmtId="3" xfId="0" applyAlignment="1" applyBorder="1" applyFont="1" applyNumberFormat="1">
      <alignment horizontal="center" vertical="bottom"/>
    </xf>
    <xf borderId="1" fillId="16" fontId="8" numFmtId="0" xfId="0" applyAlignment="1" applyBorder="1" applyFill="1" applyFont="1">
      <alignment vertical="bottom"/>
    </xf>
    <xf borderId="1" fillId="16" fontId="8" numFmtId="3" xfId="0" applyAlignment="1" applyBorder="1" applyFont="1" applyNumberFormat="1">
      <alignment horizontal="center" vertical="bottom"/>
    </xf>
    <xf borderId="1" fillId="17" fontId="8" numFmtId="0" xfId="0" applyAlignment="1" applyBorder="1" applyFill="1" applyFont="1">
      <alignment vertical="bottom"/>
    </xf>
    <xf borderId="1" fillId="17" fontId="8" numFmtId="3" xfId="0" applyAlignment="1" applyBorder="1" applyFont="1" applyNumberFormat="1">
      <alignment horizontal="center" vertical="bottom"/>
    </xf>
    <xf borderId="1" fillId="18" fontId="8" numFmtId="0" xfId="0" applyAlignment="1" applyBorder="1" applyFill="1" applyFont="1">
      <alignment vertical="bottom"/>
    </xf>
    <xf borderId="1" fillId="18" fontId="8" numFmtId="3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vertical="bottom"/>
    </xf>
    <xf borderId="1" fillId="0" fontId="8" numFmtId="3" xfId="0" applyAlignment="1" applyBorder="1" applyFont="1" applyNumberFormat="1">
      <alignment horizontal="center" vertical="bottom"/>
    </xf>
    <xf borderId="1" fillId="7" fontId="8" numFmtId="0" xfId="0" applyAlignment="1" applyBorder="1" applyFont="1">
      <alignment vertical="bottom"/>
    </xf>
    <xf borderId="1" fillId="7" fontId="8" numFmtId="3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12" fontId="8" numFmtId="0" xfId="0" applyAlignment="1" applyBorder="1" applyFont="1">
      <alignment horizontal="center" vertical="bottom"/>
    </xf>
    <xf borderId="1" fillId="19" fontId="8" numFmtId="0" xfId="0" applyAlignment="1" applyBorder="1" applyFill="1" applyFont="1">
      <alignment vertical="bottom"/>
    </xf>
    <xf borderId="1" fillId="2" fontId="8" numFmtId="0" xfId="0" applyAlignment="1" applyBorder="1" applyFont="1">
      <alignment horizontal="center" vertical="bottom"/>
    </xf>
    <xf borderId="1" fillId="0" fontId="2" numFmtId="3" xfId="0" applyAlignment="1" applyBorder="1" applyFont="1" applyNumberFormat="1">
      <alignment horizontal="center" readingOrder="0"/>
    </xf>
    <xf borderId="1" fillId="0" fontId="2" numFmtId="164" xfId="0" applyBorder="1" applyFont="1" applyNumberFormat="1"/>
    <xf borderId="0" fillId="0" fontId="19" numFmtId="164" xfId="0" applyFont="1" applyNumberFormat="1"/>
    <xf borderId="0" fillId="0" fontId="19" numFmtId="164" xfId="0" applyAlignment="1" applyFont="1" applyNumberFormat="1">
      <alignment readingOrder="0"/>
    </xf>
    <xf borderId="1" fillId="0" fontId="6" numFmtId="164" xfId="0" applyAlignment="1" applyBorder="1" applyFont="1" applyNumberFormat="1">
      <alignment horizontal="right" vertical="bottom"/>
    </xf>
    <xf borderId="0" fillId="0" fontId="19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5" max="5" width="22.13"/>
    <col customWidth="1" min="6" max="6" width="21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7">
        <v>55000.0</v>
      </c>
      <c r="D2" s="7">
        <f t="shared" ref="D2:D28" si="2">C2*60/100</f>
        <v>33000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28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28" si="5">A2+1</f>
        <v>2</v>
      </c>
      <c r="B3" s="6" t="s">
        <v>8</v>
      </c>
      <c r="C3" s="7">
        <v>40000.0</v>
      </c>
      <c r="D3" s="7">
        <f t="shared" si="2"/>
        <v>24000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6" t="s">
        <v>9</v>
      </c>
      <c r="C4" s="7">
        <v>12000.0</v>
      </c>
      <c r="D4" s="7">
        <f t="shared" si="2"/>
        <v>7200</v>
      </c>
      <c r="E4" s="7">
        <f t="shared" ref="E4:F4" si="6">if($D4&lt;15000,$D4*12/100,15000*12/100)</f>
        <v>864</v>
      </c>
      <c r="F4" s="7">
        <f t="shared" si="6"/>
        <v>864</v>
      </c>
      <c r="G4" s="7">
        <f t="shared" si="4"/>
        <v>1728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6" t="s">
        <v>10</v>
      </c>
      <c r="C5" s="7">
        <v>24167.0</v>
      </c>
      <c r="D5" s="7">
        <f t="shared" si="2"/>
        <v>14500.2</v>
      </c>
      <c r="E5" s="7">
        <f t="shared" ref="E5:F5" si="7">if($D5&lt;15000,$D5*12/100,15000*12/100)</f>
        <v>1740.024</v>
      </c>
      <c r="F5" s="7">
        <f t="shared" si="7"/>
        <v>1740.024</v>
      </c>
      <c r="G5" s="7">
        <f t="shared" si="4"/>
        <v>3480.048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6" t="s">
        <v>11</v>
      </c>
      <c r="C6" s="7">
        <v>20000.0</v>
      </c>
      <c r="D6" s="7">
        <f t="shared" si="2"/>
        <v>12000</v>
      </c>
      <c r="E6" s="7">
        <f t="shared" ref="E6:F6" si="8">if($D6&lt;15000,$D6*12/100,15000*12/100)</f>
        <v>1440</v>
      </c>
      <c r="F6" s="7">
        <f t="shared" si="8"/>
        <v>1440</v>
      </c>
      <c r="G6" s="7">
        <f t="shared" si="4"/>
        <v>2880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6" t="s">
        <v>12</v>
      </c>
      <c r="C7" s="7">
        <v>25000.0</v>
      </c>
      <c r="D7" s="7">
        <f t="shared" si="2"/>
        <v>15000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6" t="s">
        <v>13</v>
      </c>
      <c r="C8" s="7">
        <v>14500.0</v>
      </c>
      <c r="D8" s="7">
        <f t="shared" si="2"/>
        <v>8700</v>
      </c>
      <c r="E8" s="7">
        <f t="shared" ref="E8:F8" si="10">if($D8&lt;15000,$D8*12/100,15000*12/100)</f>
        <v>1044</v>
      </c>
      <c r="F8" s="7">
        <f t="shared" si="10"/>
        <v>1044</v>
      </c>
      <c r="G8" s="7">
        <f t="shared" si="4"/>
        <v>2088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6" t="s">
        <v>14</v>
      </c>
      <c r="C9" s="7">
        <v>17000.0</v>
      </c>
      <c r="D9" s="7">
        <f t="shared" si="2"/>
        <v>10200</v>
      </c>
      <c r="E9" s="7">
        <f t="shared" ref="E9:F9" si="11">if($D9&lt;15000,$D9*12/100,15000*12/100)</f>
        <v>1224</v>
      </c>
      <c r="F9" s="7">
        <f t="shared" si="11"/>
        <v>1224</v>
      </c>
      <c r="G9" s="7">
        <f t="shared" si="4"/>
        <v>2448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6" t="s">
        <v>15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6" t="s">
        <v>16</v>
      </c>
      <c r="C11" s="7">
        <v>15000.0</v>
      </c>
      <c r="D11" s="7">
        <f t="shared" si="2"/>
        <v>9000</v>
      </c>
      <c r="E11" s="7">
        <f t="shared" ref="E11:F11" si="13">if($D11&lt;15000,$D11*12/100,15000*12/100)</f>
        <v>1080</v>
      </c>
      <c r="F11" s="7">
        <f t="shared" si="13"/>
        <v>1080</v>
      </c>
      <c r="G11" s="7">
        <f t="shared" si="4"/>
        <v>2160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6" t="s">
        <v>17</v>
      </c>
      <c r="C12" s="7">
        <v>16000.0</v>
      </c>
      <c r="D12" s="7">
        <f t="shared" si="2"/>
        <v>9600</v>
      </c>
      <c r="E12" s="7">
        <f t="shared" ref="E12:F12" si="14">if($D12&lt;15000,$D12*12/100,15000*12/100)</f>
        <v>1152</v>
      </c>
      <c r="F12" s="7">
        <f t="shared" si="14"/>
        <v>1152</v>
      </c>
      <c r="G12" s="7">
        <f t="shared" si="4"/>
        <v>2304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6" t="s">
        <v>18</v>
      </c>
      <c r="C13" s="7">
        <v>12183.0</v>
      </c>
      <c r="D13" s="7">
        <f t="shared" si="2"/>
        <v>7309.8</v>
      </c>
      <c r="E13" s="7">
        <f t="shared" ref="E13:F13" si="15">if($D13&lt;15000,$D13*12/100,15000*12/100)</f>
        <v>877.176</v>
      </c>
      <c r="F13" s="7">
        <f t="shared" si="15"/>
        <v>877.176</v>
      </c>
      <c r="G13" s="7">
        <f t="shared" si="4"/>
        <v>1754.352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6" t="s">
        <v>19</v>
      </c>
      <c r="C14" s="7">
        <v>14000.0</v>
      </c>
      <c r="D14" s="7">
        <f t="shared" si="2"/>
        <v>8400</v>
      </c>
      <c r="E14" s="7">
        <f t="shared" ref="E14:F14" si="16">if($D14&lt;15000,$D14*12/100,15000*12/100)</f>
        <v>1008</v>
      </c>
      <c r="F14" s="7">
        <f t="shared" si="16"/>
        <v>1008</v>
      </c>
      <c r="G14" s="7">
        <f t="shared" si="4"/>
        <v>2016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6" t="s">
        <v>20</v>
      </c>
      <c r="C15" s="7">
        <v>19333.0</v>
      </c>
      <c r="D15" s="7">
        <f t="shared" si="2"/>
        <v>11599.8</v>
      </c>
      <c r="E15" s="7">
        <f t="shared" ref="E15:F15" si="17">if($D15&lt;15000,$D15*12/100,15000*12/100)</f>
        <v>1391.976</v>
      </c>
      <c r="F15" s="7">
        <f t="shared" si="17"/>
        <v>1391.976</v>
      </c>
      <c r="G15" s="7">
        <f t="shared" si="4"/>
        <v>2783.952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6" t="s">
        <v>21</v>
      </c>
      <c r="C16" s="7">
        <v>26100.0</v>
      </c>
      <c r="D16" s="7">
        <f t="shared" si="2"/>
        <v>15660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6" t="s">
        <v>22</v>
      </c>
      <c r="C17" s="7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6" t="s">
        <v>23</v>
      </c>
      <c r="C18" s="7">
        <v>12000.0</v>
      </c>
      <c r="D18" s="7">
        <f t="shared" si="2"/>
        <v>7200</v>
      </c>
      <c r="E18" s="7">
        <f t="shared" ref="E18:F18" si="20">if($D18&lt;15000,$D18*12/100,15000*12/100)</f>
        <v>864</v>
      </c>
      <c r="F18" s="7">
        <f t="shared" si="20"/>
        <v>864</v>
      </c>
      <c r="G18" s="7">
        <f t="shared" si="4"/>
        <v>1728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6" t="s">
        <v>24</v>
      </c>
      <c r="C19" s="7">
        <v>17400.0</v>
      </c>
      <c r="D19" s="7">
        <f t="shared" si="2"/>
        <v>10440</v>
      </c>
      <c r="E19" s="7">
        <f t="shared" ref="E19:F19" si="21">if($D19&lt;15000,$D19*12/100,15000*12/100)</f>
        <v>1252.8</v>
      </c>
      <c r="F19" s="7">
        <f t="shared" si="21"/>
        <v>1252.8</v>
      </c>
      <c r="G19" s="7">
        <f t="shared" si="4"/>
        <v>2505.6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6" t="s">
        <v>25</v>
      </c>
      <c r="C20" s="7">
        <v>5000.0</v>
      </c>
      <c r="D20" s="7">
        <f t="shared" si="2"/>
        <v>3000</v>
      </c>
      <c r="E20" s="7">
        <f t="shared" ref="E20:F20" si="22">if($D20&lt;15000,$D20*12/100,15000*12/100)</f>
        <v>360</v>
      </c>
      <c r="F20" s="7">
        <f t="shared" si="22"/>
        <v>360</v>
      </c>
      <c r="G20" s="7">
        <f t="shared" si="4"/>
        <v>720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6" t="s">
        <v>26</v>
      </c>
      <c r="C21" s="7">
        <v>26100.0</v>
      </c>
      <c r="D21" s="7">
        <f t="shared" si="2"/>
        <v>15660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6" t="s">
        <v>27</v>
      </c>
      <c r="C22" s="7">
        <v>9900.0</v>
      </c>
      <c r="D22" s="7">
        <f t="shared" si="2"/>
        <v>5940</v>
      </c>
      <c r="E22" s="7">
        <f t="shared" ref="E22:F22" si="24">if($D22&lt;15000,$D22*12/100,15000*12/100)</f>
        <v>712.8</v>
      </c>
      <c r="F22" s="7">
        <f t="shared" si="24"/>
        <v>712.8</v>
      </c>
      <c r="G22" s="7">
        <f t="shared" si="4"/>
        <v>1425.6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6" t="s">
        <v>28</v>
      </c>
      <c r="C23" s="7">
        <v>3900.0</v>
      </c>
      <c r="D23" s="7">
        <f t="shared" si="2"/>
        <v>2340</v>
      </c>
      <c r="E23" s="7">
        <f t="shared" ref="E23:F23" si="25">if($D23&lt;15000,$D23*12/100,15000*12/100)</f>
        <v>280.8</v>
      </c>
      <c r="F23" s="7">
        <f t="shared" si="25"/>
        <v>280.8</v>
      </c>
      <c r="G23" s="7">
        <f t="shared" si="4"/>
        <v>561.6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6" t="s">
        <v>29</v>
      </c>
      <c r="C24" s="7">
        <v>16000.0</v>
      </c>
      <c r="D24" s="7">
        <f t="shared" si="2"/>
        <v>9600</v>
      </c>
      <c r="E24" s="7">
        <f t="shared" ref="E24:F24" si="26">if($D24&lt;15000,$D24*12/100,15000*12/100)</f>
        <v>1152</v>
      </c>
      <c r="F24" s="7">
        <f t="shared" si="26"/>
        <v>1152</v>
      </c>
      <c r="G24" s="7">
        <f t="shared" si="4"/>
        <v>2304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6" t="s">
        <v>30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6" t="s">
        <v>31</v>
      </c>
      <c r="C26" s="7">
        <v>18000.0</v>
      </c>
      <c r="D26" s="7">
        <f t="shared" si="2"/>
        <v>10800</v>
      </c>
      <c r="E26" s="7">
        <f t="shared" ref="E26:F26" si="28">if($D26&lt;15000,$D26*12/100,15000*12/100)</f>
        <v>1296</v>
      </c>
      <c r="F26" s="7">
        <f t="shared" si="28"/>
        <v>1296</v>
      </c>
      <c r="G26" s="7">
        <f t="shared" si="4"/>
        <v>2592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6" t="s">
        <v>32</v>
      </c>
      <c r="C27" s="7">
        <v>12000.0</v>
      </c>
      <c r="D27" s="7">
        <f t="shared" si="2"/>
        <v>7200</v>
      </c>
      <c r="E27" s="7">
        <f t="shared" ref="E27:F27" si="29">if($D27&lt;15000,$D27*12/100,15000*12/100)</f>
        <v>864</v>
      </c>
      <c r="F27" s="7">
        <f t="shared" si="29"/>
        <v>864</v>
      </c>
      <c r="G27" s="7">
        <f t="shared" si="4"/>
        <v>1728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6" t="s">
        <v>33</v>
      </c>
      <c r="C28" s="7">
        <v>8400.0</v>
      </c>
      <c r="D28" s="7">
        <f t="shared" si="2"/>
        <v>5040</v>
      </c>
      <c r="E28" s="7">
        <f t="shared" ref="E28:F28" si="30">if($D28&lt;15000,$D28*12/100,15000*12/100)</f>
        <v>604.8</v>
      </c>
      <c r="F28" s="7">
        <f t="shared" si="30"/>
        <v>604.8</v>
      </c>
      <c r="G28" s="7">
        <f t="shared" si="4"/>
        <v>1209.6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34</v>
      </c>
      <c r="B29" s="10"/>
      <c r="C29" s="11">
        <f t="shared" ref="C29:G29" si="31">sum(C2:C28)</f>
        <v>505983</v>
      </c>
      <c r="D29" s="11">
        <f t="shared" si="31"/>
        <v>303589.8</v>
      </c>
      <c r="E29" s="11">
        <f t="shared" si="31"/>
        <v>32672.376</v>
      </c>
      <c r="F29" s="11">
        <f t="shared" si="31"/>
        <v>32672.376</v>
      </c>
      <c r="G29" s="11">
        <f t="shared" si="31"/>
        <v>65344.752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/>
      <c r="B30" s="4"/>
      <c r="C30" s="13"/>
      <c r="D30" s="13"/>
      <c r="E30" s="13"/>
      <c r="F30" s="13"/>
      <c r="G30" s="1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/>
      <c r="B31" s="4"/>
      <c r="C31" s="13"/>
      <c r="D31" s="13"/>
      <c r="E31" s="13"/>
      <c r="F31" s="13"/>
      <c r="G31" s="1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/>
      <c r="B32" s="4"/>
      <c r="C32" s="13"/>
      <c r="D32" s="13"/>
      <c r="E32" s="13"/>
      <c r="F32" s="13"/>
      <c r="G32" s="1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/>
      <c r="B33" s="4"/>
      <c r="C33" s="13"/>
      <c r="D33" s="13"/>
      <c r="E33" s="13"/>
      <c r="F33" s="13"/>
      <c r="G33" s="1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/>
      <c r="B34" s="4"/>
      <c r="C34" s="13"/>
      <c r="D34" s="13"/>
      <c r="E34" s="13"/>
      <c r="F34" s="13"/>
      <c r="G34" s="1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/>
      <c r="B35" s="4"/>
      <c r="C35" s="13"/>
      <c r="D35" s="13"/>
      <c r="E35" s="13"/>
      <c r="F35" s="13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/>
      <c r="B36" s="4"/>
      <c r="C36" s="13"/>
      <c r="D36" s="13"/>
      <c r="E36" s="13"/>
      <c r="F36" s="13"/>
      <c r="G36" s="1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4"/>
      <c r="C37" s="13"/>
      <c r="D37" s="13"/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/>
      <c r="B38" s="4"/>
      <c r="C38" s="13"/>
      <c r="D38" s="13"/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4"/>
      <c r="C39" s="13"/>
      <c r="D39" s="13"/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/>
      <c r="B40" s="4"/>
      <c r="C40" s="13"/>
      <c r="D40" s="13"/>
      <c r="E40" s="13"/>
      <c r="F40" s="13"/>
      <c r="G40" s="1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9:B29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7">
        <v>55000.0</v>
      </c>
      <c r="D2" s="7">
        <f t="shared" ref="D2:D33" si="2">C2*60/100</f>
        <v>33000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33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f t="shared" ref="A3:A33" si="5">A2+1</f>
        <v>2</v>
      </c>
      <c r="B3" s="6" t="s">
        <v>8</v>
      </c>
      <c r="C3" s="7">
        <v>40000.0</v>
      </c>
      <c r="D3" s="7">
        <f t="shared" si="2"/>
        <v>24000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f t="shared" si="5"/>
        <v>3</v>
      </c>
      <c r="B4" s="6" t="s">
        <v>9</v>
      </c>
      <c r="C4" s="7">
        <v>12000.0</v>
      </c>
      <c r="D4" s="7">
        <f t="shared" si="2"/>
        <v>7200</v>
      </c>
      <c r="E4" s="7">
        <f t="shared" ref="E4:F4" si="6">if($D4&lt;15000,$D4*12/100,15000*12/100)</f>
        <v>864</v>
      </c>
      <c r="F4" s="7">
        <f t="shared" si="6"/>
        <v>864</v>
      </c>
      <c r="G4" s="7">
        <f t="shared" si="4"/>
        <v>1728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f t="shared" si="5"/>
        <v>4</v>
      </c>
      <c r="B5" s="6" t="s">
        <v>10</v>
      </c>
      <c r="C5" s="7">
        <v>25000.0</v>
      </c>
      <c r="D5" s="7">
        <f t="shared" si="2"/>
        <v>15000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f t="shared" si="5"/>
        <v>5</v>
      </c>
      <c r="B6" s="6" t="s">
        <v>11</v>
      </c>
      <c r="C6" s="7">
        <v>20000.0</v>
      </c>
      <c r="D6" s="7">
        <f t="shared" si="2"/>
        <v>12000</v>
      </c>
      <c r="E6" s="7">
        <f t="shared" ref="E6:F6" si="8">if($D6&lt;15000,$D6*12/100,15000*12/100)</f>
        <v>1440</v>
      </c>
      <c r="F6" s="7">
        <f t="shared" si="8"/>
        <v>1440</v>
      </c>
      <c r="G6" s="7">
        <f t="shared" si="4"/>
        <v>2880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f t="shared" si="5"/>
        <v>6</v>
      </c>
      <c r="B7" s="6" t="s">
        <v>12</v>
      </c>
      <c r="C7" s="7">
        <v>24194.0</v>
      </c>
      <c r="D7" s="7">
        <f t="shared" si="2"/>
        <v>14516.4</v>
      </c>
      <c r="E7" s="7">
        <f t="shared" ref="E7:F7" si="9">if($D7&lt;15000,$D7*12/100,15000*12/100)</f>
        <v>1741.968</v>
      </c>
      <c r="F7" s="7">
        <f t="shared" si="9"/>
        <v>1741.968</v>
      </c>
      <c r="G7" s="7">
        <f t="shared" si="4"/>
        <v>3483.936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f t="shared" si="5"/>
        <v>7</v>
      </c>
      <c r="B8" s="6" t="s">
        <v>13</v>
      </c>
      <c r="C8" s="7">
        <v>15000.0</v>
      </c>
      <c r="D8" s="7">
        <f t="shared" si="2"/>
        <v>9000</v>
      </c>
      <c r="E8" s="7">
        <f t="shared" ref="E8:F8" si="10">if($D8&lt;15000,$D8*12/100,15000*12/100)</f>
        <v>1080</v>
      </c>
      <c r="F8" s="7">
        <f t="shared" si="10"/>
        <v>1080</v>
      </c>
      <c r="G8" s="7">
        <f t="shared" si="4"/>
        <v>2160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f t="shared" si="5"/>
        <v>8</v>
      </c>
      <c r="B9" s="6" t="s">
        <v>14</v>
      </c>
      <c r="C9" s="7">
        <v>15355.0</v>
      </c>
      <c r="D9" s="7">
        <f t="shared" si="2"/>
        <v>9213</v>
      </c>
      <c r="E9" s="7">
        <f t="shared" ref="E9:F9" si="11">if($D9&lt;15000,$D9*12/100,15000*12/100)</f>
        <v>1105.56</v>
      </c>
      <c r="F9" s="7">
        <f t="shared" si="11"/>
        <v>1105.56</v>
      </c>
      <c r="G9" s="7">
        <f t="shared" si="4"/>
        <v>2211.12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f t="shared" si="5"/>
        <v>9</v>
      </c>
      <c r="B10" s="6" t="s">
        <v>15</v>
      </c>
      <c r="C10" s="7">
        <v>24597.0</v>
      </c>
      <c r="D10" s="7">
        <f t="shared" si="2"/>
        <v>14758.2</v>
      </c>
      <c r="E10" s="7">
        <f t="shared" ref="E10:F10" si="12">if($D10&lt;15000,$D10*12/100,15000*12/100)</f>
        <v>1770.984</v>
      </c>
      <c r="F10" s="7">
        <f t="shared" si="12"/>
        <v>1770.984</v>
      </c>
      <c r="G10" s="7">
        <f t="shared" si="4"/>
        <v>3541.968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f t="shared" si="5"/>
        <v>10</v>
      </c>
      <c r="B11" s="6" t="s">
        <v>16</v>
      </c>
      <c r="C11" s="7">
        <v>15000.0</v>
      </c>
      <c r="D11" s="7">
        <f t="shared" si="2"/>
        <v>9000</v>
      </c>
      <c r="E11" s="7">
        <f t="shared" ref="E11:F11" si="13">if($D11&lt;15000,$D11*12/100,15000*12/100)</f>
        <v>1080</v>
      </c>
      <c r="F11" s="7">
        <f t="shared" si="13"/>
        <v>1080</v>
      </c>
      <c r="G11" s="7">
        <f t="shared" si="4"/>
        <v>2160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5"/>
        <v>11</v>
      </c>
      <c r="B12" s="6" t="s">
        <v>17</v>
      </c>
      <c r="C12" s="7">
        <v>16000.0</v>
      </c>
      <c r="D12" s="7">
        <f t="shared" si="2"/>
        <v>9600</v>
      </c>
      <c r="E12" s="7">
        <f t="shared" ref="E12:F12" si="14">if($D12&lt;15000,$D12*12/100,15000*12/100)</f>
        <v>1152</v>
      </c>
      <c r="F12" s="7">
        <f t="shared" si="14"/>
        <v>1152</v>
      </c>
      <c r="G12" s="7">
        <f t="shared" si="4"/>
        <v>2304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f t="shared" si="5"/>
        <v>12</v>
      </c>
      <c r="B13" s="6" t="s">
        <v>18</v>
      </c>
      <c r="C13" s="7">
        <v>17000.0</v>
      </c>
      <c r="D13" s="7">
        <f t="shared" si="2"/>
        <v>10200</v>
      </c>
      <c r="E13" s="7">
        <f t="shared" ref="E13:F13" si="15">if($D13&lt;15000,$D13*12/100,15000*12/100)</f>
        <v>1224</v>
      </c>
      <c r="F13" s="7">
        <f t="shared" si="15"/>
        <v>1224</v>
      </c>
      <c r="G13" s="7">
        <f t="shared" si="4"/>
        <v>2448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f t="shared" si="5"/>
        <v>13</v>
      </c>
      <c r="B14" s="6" t="s">
        <v>19</v>
      </c>
      <c r="C14" s="7">
        <v>14516.0</v>
      </c>
      <c r="D14" s="7">
        <f t="shared" si="2"/>
        <v>8709.6</v>
      </c>
      <c r="E14" s="7">
        <f t="shared" ref="E14:F14" si="16">if($D14&lt;15000,$D14*12/100,15000*12/100)</f>
        <v>1045.152</v>
      </c>
      <c r="F14" s="7">
        <f t="shared" si="16"/>
        <v>1045.152</v>
      </c>
      <c r="G14" s="7">
        <f t="shared" si="4"/>
        <v>2090.304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f t="shared" si="5"/>
        <v>14</v>
      </c>
      <c r="B15" s="6" t="s">
        <v>20</v>
      </c>
      <c r="C15" s="7">
        <v>20000.0</v>
      </c>
      <c r="D15" s="7">
        <f t="shared" si="2"/>
        <v>12000</v>
      </c>
      <c r="E15" s="7">
        <f t="shared" ref="E15:F15" si="17">if($D15&lt;15000,$D15*12/100,15000*12/100)</f>
        <v>1440</v>
      </c>
      <c r="F15" s="7">
        <f t="shared" si="17"/>
        <v>1440</v>
      </c>
      <c r="G15" s="7">
        <f t="shared" si="4"/>
        <v>2880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f t="shared" si="5"/>
        <v>15</v>
      </c>
      <c r="B16" s="6" t="s">
        <v>21</v>
      </c>
      <c r="C16" s="7">
        <v>27000.0</v>
      </c>
      <c r="D16" s="7">
        <f t="shared" si="2"/>
        <v>16200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f t="shared" si="5"/>
        <v>16</v>
      </c>
      <c r="B17" s="6" t="s">
        <v>22</v>
      </c>
      <c r="C17" s="7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f t="shared" si="5"/>
        <v>17</v>
      </c>
      <c r="B18" s="6" t="s">
        <v>23</v>
      </c>
      <c r="C18" s="7">
        <v>12000.0</v>
      </c>
      <c r="D18" s="7">
        <f t="shared" si="2"/>
        <v>7200</v>
      </c>
      <c r="E18" s="7">
        <f t="shared" ref="E18:F18" si="20">if($D18&lt;15000,$D18*12/100,15000*12/100)</f>
        <v>864</v>
      </c>
      <c r="F18" s="7">
        <f t="shared" si="20"/>
        <v>864</v>
      </c>
      <c r="G18" s="7">
        <f t="shared" si="4"/>
        <v>1728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f t="shared" si="5"/>
        <v>18</v>
      </c>
      <c r="B19" s="6" t="s">
        <v>24</v>
      </c>
      <c r="C19" s="7">
        <v>18000.0</v>
      </c>
      <c r="D19" s="7">
        <f t="shared" si="2"/>
        <v>10800</v>
      </c>
      <c r="E19" s="7">
        <f t="shared" ref="E19:F19" si="21">if($D19&lt;15000,$D19*12/100,15000*12/100)</f>
        <v>1296</v>
      </c>
      <c r="F19" s="7">
        <f t="shared" si="21"/>
        <v>1296</v>
      </c>
      <c r="G19" s="7">
        <f t="shared" si="4"/>
        <v>2592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f t="shared" si="5"/>
        <v>19</v>
      </c>
      <c r="B20" s="6" t="s">
        <v>35</v>
      </c>
      <c r="C20" s="7">
        <v>5000.0</v>
      </c>
      <c r="D20" s="7">
        <f t="shared" si="2"/>
        <v>3000</v>
      </c>
      <c r="E20" s="7">
        <f t="shared" ref="E20:F20" si="22">if($D20&lt;15000,$D20*12/100,15000*12/100)</f>
        <v>360</v>
      </c>
      <c r="F20" s="7">
        <f t="shared" si="22"/>
        <v>360</v>
      </c>
      <c r="G20" s="7">
        <f t="shared" si="4"/>
        <v>720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>
        <f t="shared" si="5"/>
        <v>20</v>
      </c>
      <c r="B21" s="6" t="s">
        <v>26</v>
      </c>
      <c r="C21" s="7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>
        <f t="shared" si="5"/>
        <v>21</v>
      </c>
      <c r="B22" s="6" t="s">
        <v>27</v>
      </c>
      <c r="C22" s="7">
        <v>27000.0</v>
      </c>
      <c r="D22" s="7">
        <f t="shared" si="2"/>
        <v>16200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>
        <f t="shared" si="5"/>
        <v>22</v>
      </c>
      <c r="B23" s="6" t="s">
        <v>28</v>
      </c>
      <c r="C23" s="7">
        <v>12371.0</v>
      </c>
      <c r="D23" s="7">
        <f t="shared" si="2"/>
        <v>7422.6</v>
      </c>
      <c r="E23" s="7">
        <f t="shared" ref="E23:F23" si="25">if($D23&lt;15000,$D23*12/100,15000*12/100)</f>
        <v>890.712</v>
      </c>
      <c r="F23" s="7">
        <f t="shared" si="25"/>
        <v>890.712</v>
      </c>
      <c r="G23" s="7">
        <f t="shared" si="4"/>
        <v>1781.424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>
        <f t="shared" si="5"/>
        <v>23</v>
      </c>
      <c r="B24" s="6" t="s">
        <v>36</v>
      </c>
      <c r="C24" s="7">
        <v>15613.0</v>
      </c>
      <c r="D24" s="7">
        <f t="shared" si="2"/>
        <v>9367.8</v>
      </c>
      <c r="E24" s="7">
        <f t="shared" ref="E24:F24" si="26">if($D24&lt;15000,$D24*12/100,15000*12/100)</f>
        <v>1124.136</v>
      </c>
      <c r="F24" s="7">
        <f t="shared" si="26"/>
        <v>1124.136</v>
      </c>
      <c r="G24" s="7">
        <f t="shared" si="4"/>
        <v>2248.272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>
        <f t="shared" si="5"/>
        <v>24</v>
      </c>
      <c r="B25" s="6" t="s">
        <v>37</v>
      </c>
      <c r="C25" s="7">
        <v>4839.0</v>
      </c>
      <c r="D25" s="7">
        <f t="shared" si="2"/>
        <v>2903.4</v>
      </c>
      <c r="E25" s="7">
        <f t="shared" ref="E25:F25" si="27">if($D25&lt;15000,$D25*12/100,15000*12/100)</f>
        <v>348.408</v>
      </c>
      <c r="F25" s="7">
        <f t="shared" si="27"/>
        <v>348.408</v>
      </c>
      <c r="G25" s="7">
        <f t="shared" si="4"/>
        <v>696.816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>
        <f t="shared" si="5"/>
        <v>25</v>
      </c>
      <c r="B26" s="6" t="s">
        <v>38</v>
      </c>
      <c r="C26" s="7">
        <v>8516.0</v>
      </c>
      <c r="D26" s="7">
        <f t="shared" si="2"/>
        <v>5109.6</v>
      </c>
      <c r="E26" s="7">
        <f t="shared" ref="E26:F26" si="28">if($D26&lt;15000,$D26*12/100,15000*12/100)</f>
        <v>613.152</v>
      </c>
      <c r="F26" s="7">
        <f t="shared" si="28"/>
        <v>613.152</v>
      </c>
      <c r="G26" s="7">
        <f t="shared" si="4"/>
        <v>1226.304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>
        <f t="shared" si="5"/>
        <v>26</v>
      </c>
      <c r="B27" s="6" t="s">
        <v>39</v>
      </c>
      <c r="C27" s="7">
        <v>3548.0</v>
      </c>
      <c r="D27" s="7">
        <f t="shared" si="2"/>
        <v>2128.8</v>
      </c>
      <c r="E27" s="7">
        <f t="shared" ref="E27:F27" si="29">if($D27&lt;15000,$D27*12/100,15000*12/100)</f>
        <v>255.456</v>
      </c>
      <c r="F27" s="7">
        <f t="shared" si="29"/>
        <v>255.456</v>
      </c>
      <c r="G27" s="7">
        <f t="shared" si="4"/>
        <v>510.912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f t="shared" si="5"/>
        <v>27</v>
      </c>
      <c r="B28" s="6" t="s">
        <v>40</v>
      </c>
      <c r="C28" s="7">
        <v>5000.0</v>
      </c>
      <c r="D28" s="7">
        <f t="shared" si="2"/>
        <v>3000</v>
      </c>
      <c r="E28" s="7">
        <f t="shared" ref="E28:F28" si="30">if($D28&lt;15000,$D28*12/100,15000*12/100)</f>
        <v>360</v>
      </c>
      <c r="F28" s="7">
        <f t="shared" si="30"/>
        <v>360</v>
      </c>
      <c r="G28" s="7">
        <f t="shared" si="4"/>
        <v>720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>
        <f t="shared" si="5"/>
        <v>28</v>
      </c>
      <c r="B29" s="6" t="s">
        <v>29</v>
      </c>
      <c r="C29" s="7">
        <v>15484.0</v>
      </c>
      <c r="D29" s="7">
        <f t="shared" si="2"/>
        <v>9290.4</v>
      </c>
      <c r="E29" s="7">
        <f t="shared" ref="E29:F29" si="31">if($D29&lt;15000,$D29*12/100,15000*12/100)</f>
        <v>1114.848</v>
      </c>
      <c r="F29" s="7">
        <f t="shared" si="31"/>
        <v>1114.848</v>
      </c>
      <c r="G29" s="7">
        <f t="shared" si="4"/>
        <v>2229.696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>
        <f t="shared" si="5"/>
        <v>29</v>
      </c>
      <c r="B30" s="6" t="s">
        <v>30</v>
      </c>
      <c r="C30" s="7">
        <v>11806.0</v>
      </c>
      <c r="D30" s="7">
        <f t="shared" si="2"/>
        <v>7083.6</v>
      </c>
      <c r="E30" s="7">
        <f t="shared" ref="E30:F30" si="32">if($D30&lt;15000,$D30*12/100,15000*12/100)</f>
        <v>850.032</v>
      </c>
      <c r="F30" s="7">
        <f t="shared" si="32"/>
        <v>850.032</v>
      </c>
      <c r="G30" s="7">
        <f t="shared" si="4"/>
        <v>1700.064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>
        <f t="shared" si="5"/>
        <v>30</v>
      </c>
      <c r="B31" s="6" t="s">
        <v>31</v>
      </c>
      <c r="C31" s="7">
        <v>18000.0</v>
      </c>
      <c r="D31" s="7">
        <f t="shared" si="2"/>
        <v>10800</v>
      </c>
      <c r="E31" s="7">
        <f t="shared" ref="E31:F31" si="33">if($D31&lt;15000,$D31*12/100,15000*12/100)</f>
        <v>1296</v>
      </c>
      <c r="F31" s="7">
        <f t="shared" si="33"/>
        <v>1296</v>
      </c>
      <c r="G31" s="7">
        <f t="shared" si="4"/>
        <v>2592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>
        <f t="shared" si="5"/>
        <v>31</v>
      </c>
      <c r="B32" s="6" t="s">
        <v>32</v>
      </c>
      <c r="C32" s="7">
        <v>12000.0</v>
      </c>
      <c r="D32" s="7">
        <f t="shared" si="2"/>
        <v>7200</v>
      </c>
      <c r="E32" s="7">
        <f t="shared" ref="E32:F32" si="34">if($D32&lt;15000,$D32*12/100,15000*12/100)</f>
        <v>864</v>
      </c>
      <c r="F32" s="7">
        <f t="shared" si="34"/>
        <v>864</v>
      </c>
      <c r="G32" s="7">
        <f t="shared" si="4"/>
        <v>1728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>
        <f t="shared" si="5"/>
        <v>32</v>
      </c>
      <c r="B33" s="6" t="s">
        <v>33</v>
      </c>
      <c r="C33" s="7">
        <v>12000.0</v>
      </c>
      <c r="D33" s="7">
        <f t="shared" si="2"/>
        <v>7200</v>
      </c>
      <c r="E33" s="7">
        <f t="shared" ref="E33:F33" si="35">if($D33&lt;15000,$D33*12/100,15000*12/100)</f>
        <v>864</v>
      </c>
      <c r="F33" s="7">
        <f t="shared" si="35"/>
        <v>864</v>
      </c>
      <c r="G33" s="7">
        <f t="shared" si="4"/>
        <v>1728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34</v>
      </c>
      <c r="B34" s="10"/>
      <c r="C34" s="11">
        <f t="shared" ref="C34:G34" si="36">sum(C2:C33)</f>
        <v>578839</v>
      </c>
      <c r="D34" s="11">
        <f t="shared" si="36"/>
        <v>347303.4</v>
      </c>
      <c r="E34" s="11">
        <f t="shared" si="36"/>
        <v>37644.408</v>
      </c>
      <c r="F34" s="11">
        <f t="shared" si="36"/>
        <v>37644.408</v>
      </c>
      <c r="G34" s="11">
        <f t="shared" si="36"/>
        <v>75288.816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/>
      <c r="B35" s="4"/>
      <c r="C35" s="13"/>
      <c r="D35" s="13"/>
      <c r="E35" s="13"/>
      <c r="F35" s="13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/>
      <c r="B36" s="4"/>
      <c r="C36" s="13"/>
      <c r="D36" s="13"/>
      <c r="E36" s="13"/>
      <c r="F36" s="13"/>
      <c r="G36" s="1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4"/>
      <c r="C37" s="13"/>
      <c r="D37" s="13"/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/>
      <c r="B38" s="4"/>
      <c r="C38" s="13"/>
      <c r="D38" s="13"/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4"/>
      <c r="C39" s="13"/>
      <c r="D39" s="13"/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/>
      <c r="B40" s="4"/>
      <c r="C40" s="13"/>
      <c r="D40" s="13"/>
      <c r="E40" s="13"/>
      <c r="F40" s="13"/>
      <c r="G40" s="1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1">
    <mergeCell ref="A34:B34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7</v>
      </c>
      <c r="C2" s="7">
        <v>70000.0</v>
      </c>
      <c r="D2" s="7">
        <f t="shared" ref="D2:D35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35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35" si="5">A2+1</f>
        <v>2</v>
      </c>
      <c r="B3" s="6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6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6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6" t="s">
        <v>11</v>
      </c>
      <c r="C6" s="7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6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6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6" t="s">
        <v>14</v>
      </c>
      <c r="C9" s="7">
        <v>18000.0</v>
      </c>
      <c r="D9" s="7">
        <f t="shared" si="2"/>
        <v>10800</v>
      </c>
      <c r="E9" s="7">
        <f t="shared" ref="E9:F9" si="11">if($D9&lt;15000,$D9*12/100,15000*12/100)</f>
        <v>1296</v>
      </c>
      <c r="F9" s="7">
        <f t="shared" si="11"/>
        <v>1296</v>
      </c>
      <c r="G9" s="7">
        <f t="shared" si="4"/>
        <v>2592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6" t="s">
        <v>16</v>
      </c>
      <c r="C10" s="7">
        <v>16500.0</v>
      </c>
      <c r="D10" s="7">
        <f t="shared" si="2"/>
        <v>9900</v>
      </c>
      <c r="E10" s="7">
        <f t="shared" ref="E10:F10" si="12">if($D10&lt;15000,$D10*12/100,15000*12/100)</f>
        <v>1188</v>
      </c>
      <c r="F10" s="7">
        <f t="shared" si="12"/>
        <v>1188</v>
      </c>
      <c r="G10" s="7">
        <f t="shared" si="4"/>
        <v>2376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6" t="s">
        <v>17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6" t="s">
        <v>18</v>
      </c>
      <c r="C12" s="7">
        <v>18000.0</v>
      </c>
      <c r="D12" s="7">
        <f t="shared" si="2"/>
        <v>10800</v>
      </c>
      <c r="E12" s="7">
        <f t="shared" ref="E12:F12" si="14">if($D12&lt;15000,$D12*12/100,15000*12/100)</f>
        <v>1296</v>
      </c>
      <c r="F12" s="7">
        <f t="shared" si="14"/>
        <v>1296</v>
      </c>
      <c r="G12" s="7">
        <f t="shared" si="4"/>
        <v>2592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6" t="s">
        <v>19</v>
      </c>
      <c r="C13" s="7">
        <v>16000.0</v>
      </c>
      <c r="D13" s="7">
        <f t="shared" si="2"/>
        <v>9600</v>
      </c>
      <c r="E13" s="7">
        <f t="shared" ref="E13:F13" si="15">if($D13&lt;15000,$D13*12/100,15000*12/100)</f>
        <v>1152</v>
      </c>
      <c r="F13" s="7">
        <f t="shared" si="15"/>
        <v>1152</v>
      </c>
      <c r="G13" s="7">
        <f t="shared" si="4"/>
        <v>2304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6" t="s">
        <v>20</v>
      </c>
      <c r="C14" s="7">
        <v>22500.0</v>
      </c>
      <c r="D14" s="7">
        <f t="shared" si="2"/>
        <v>13500</v>
      </c>
      <c r="E14" s="7">
        <f t="shared" ref="E14:F14" si="16">if($D14&lt;15000,$D14*12/100,15000*12/100)</f>
        <v>1620</v>
      </c>
      <c r="F14" s="7">
        <f t="shared" si="16"/>
        <v>1620</v>
      </c>
      <c r="G14" s="7">
        <f t="shared" si="4"/>
        <v>3240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6" t="s">
        <v>21</v>
      </c>
      <c r="C15" s="7">
        <v>27000.0</v>
      </c>
      <c r="D15" s="7">
        <f t="shared" si="2"/>
        <v>16200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6" t="s">
        <v>22</v>
      </c>
      <c r="C16" s="7">
        <v>30000.0</v>
      </c>
      <c r="D16" s="7">
        <f t="shared" si="2"/>
        <v>18000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6" t="s">
        <v>23</v>
      </c>
      <c r="C17" s="7">
        <v>16500.0</v>
      </c>
      <c r="D17" s="7">
        <f t="shared" si="2"/>
        <v>9900</v>
      </c>
      <c r="E17" s="7">
        <f t="shared" ref="E17:F17" si="19">if($D17&lt;15000,$D17*12/100,15000*12/100)</f>
        <v>1188</v>
      </c>
      <c r="F17" s="7">
        <f t="shared" si="19"/>
        <v>1188</v>
      </c>
      <c r="G17" s="7">
        <f t="shared" si="4"/>
        <v>2376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6" t="s">
        <v>24</v>
      </c>
      <c r="C18" s="7">
        <v>25000.0</v>
      </c>
      <c r="D18" s="7">
        <f t="shared" si="2"/>
        <v>15000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6" t="s">
        <v>35</v>
      </c>
      <c r="C19" s="7">
        <v>5000.0</v>
      </c>
      <c r="D19" s="7">
        <f t="shared" si="2"/>
        <v>3000</v>
      </c>
      <c r="E19" s="7">
        <f t="shared" ref="E19:F19" si="21">if($D19&lt;15000,$D19*12/100,15000*12/100)</f>
        <v>360</v>
      </c>
      <c r="F19" s="7">
        <f t="shared" si="21"/>
        <v>360</v>
      </c>
      <c r="G19" s="7">
        <f t="shared" si="4"/>
        <v>720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6" t="s">
        <v>26</v>
      </c>
      <c r="C20" s="7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6" t="s">
        <v>27</v>
      </c>
      <c r="C21" s="7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6" t="s">
        <v>28</v>
      </c>
      <c r="C22" s="7">
        <v>12783.0</v>
      </c>
      <c r="D22" s="7">
        <f t="shared" si="2"/>
        <v>7669.8</v>
      </c>
      <c r="E22" s="7">
        <f t="shared" ref="E22:F22" si="24">if($D22&lt;15000,$D22*12/100,15000*12/100)</f>
        <v>920.376</v>
      </c>
      <c r="F22" s="7">
        <f t="shared" si="24"/>
        <v>920.376</v>
      </c>
      <c r="G22" s="7">
        <f t="shared" si="4"/>
        <v>1840.752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6" t="s">
        <v>36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6" t="s">
        <v>37</v>
      </c>
      <c r="C24" s="7">
        <v>10000.0</v>
      </c>
      <c r="D24" s="7">
        <f t="shared" si="2"/>
        <v>6000</v>
      </c>
      <c r="E24" s="7">
        <f t="shared" ref="E24:F24" si="26">if($D24&lt;15000,$D24*12/100,15000*12/100)</f>
        <v>720</v>
      </c>
      <c r="F24" s="7">
        <f t="shared" si="26"/>
        <v>720</v>
      </c>
      <c r="G24" s="7">
        <f t="shared" si="4"/>
        <v>1440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6" t="s">
        <v>38</v>
      </c>
      <c r="C25" s="7">
        <v>21267.0</v>
      </c>
      <c r="D25" s="7">
        <f t="shared" si="2"/>
        <v>12760.2</v>
      </c>
      <c r="E25" s="7">
        <f t="shared" ref="E25:F25" si="27">if($D25&lt;15000,$D25*12/100,15000*12/100)</f>
        <v>1531.224</v>
      </c>
      <c r="F25" s="7">
        <f t="shared" si="27"/>
        <v>1531.224</v>
      </c>
      <c r="G25" s="7">
        <f t="shared" si="4"/>
        <v>3062.448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6" t="s">
        <v>39</v>
      </c>
      <c r="C26" s="7">
        <v>22000.0</v>
      </c>
      <c r="D26" s="7">
        <f t="shared" si="2"/>
        <v>13200</v>
      </c>
      <c r="E26" s="7">
        <f t="shared" ref="E26:F26" si="28">if($D26&lt;15000,$D26*12/100,15000*12/100)</f>
        <v>1584</v>
      </c>
      <c r="F26" s="7">
        <f t="shared" si="28"/>
        <v>1584</v>
      </c>
      <c r="G26" s="7">
        <f t="shared" si="4"/>
        <v>3168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6" t="s">
        <v>41</v>
      </c>
      <c r="C27" s="7">
        <v>5000.0</v>
      </c>
      <c r="D27" s="7">
        <f t="shared" si="2"/>
        <v>3000</v>
      </c>
      <c r="E27" s="7">
        <f t="shared" ref="E27:F27" si="29">if($D27&lt;15000,$D27*12/100,15000*12/100)</f>
        <v>360</v>
      </c>
      <c r="F27" s="7">
        <f t="shared" si="29"/>
        <v>360</v>
      </c>
      <c r="G27" s="7">
        <f t="shared" si="4"/>
        <v>720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6" t="s">
        <v>42</v>
      </c>
      <c r="C28" s="7">
        <v>8400.0</v>
      </c>
      <c r="D28" s="7">
        <f t="shared" si="2"/>
        <v>5040</v>
      </c>
      <c r="E28" s="7">
        <f t="shared" ref="E28:F28" si="30">if($D28&lt;15000,$D28*12/100,15000*12/100)</f>
        <v>604.8</v>
      </c>
      <c r="F28" s="7">
        <f t="shared" si="30"/>
        <v>604.8</v>
      </c>
      <c r="G28" s="7">
        <f t="shared" si="4"/>
        <v>1209.6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6" t="s">
        <v>43</v>
      </c>
      <c r="C29" s="7">
        <v>6200.0</v>
      </c>
      <c r="D29" s="7">
        <f t="shared" si="2"/>
        <v>3720</v>
      </c>
      <c r="E29" s="7">
        <f t="shared" ref="E29:F29" si="31">if($D29&lt;15000,$D29*12/100,15000*12/100)</f>
        <v>446.4</v>
      </c>
      <c r="F29" s="7">
        <f t="shared" si="31"/>
        <v>446.4</v>
      </c>
      <c r="G29" s="7">
        <f t="shared" si="4"/>
        <v>892.8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6" t="s">
        <v>44</v>
      </c>
      <c r="C30" s="7">
        <v>4000.0</v>
      </c>
      <c r="D30" s="7">
        <f t="shared" si="2"/>
        <v>2400</v>
      </c>
      <c r="E30" s="7">
        <f t="shared" ref="E30:F30" si="32">if($D30&lt;15000,$D30*12/100,15000*12/100)</f>
        <v>288</v>
      </c>
      <c r="F30" s="7">
        <f t="shared" si="32"/>
        <v>288</v>
      </c>
      <c r="G30" s="7">
        <f t="shared" si="4"/>
        <v>576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6" t="s">
        <v>45</v>
      </c>
      <c r="C31" s="7">
        <v>3750.0</v>
      </c>
      <c r="D31" s="7">
        <f t="shared" si="2"/>
        <v>2250</v>
      </c>
      <c r="E31" s="7">
        <f t="shared" ref="E31:F31" si="33">if($D31&lt;15000,$D31*12/100,15000*12/100)</f>
        <v>270</v>
      </c>
      <c r="F31" s="7">
        <f t="shared" si="33"/>
        <v>270</v>
      </c>
      <c r="G31" s="7">
        <f t="shared" si="4"/>
        <v>540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6" t="s">
        <v>29</v>
      </c>
      <c r="C32" s="7">
        <v>15017.0</v>
      </c>
      <c r="D32" s="7">
        <f t="shared" si="2"/>
        <v>9010.2</v>
      </c>
      <c r="E32" s="7">
        <f t="shared" ref="E32:F32" si="34">if($D32&lt;15000,$D32*12/100,15000*12/100)</f>
        <v>1081.224</v>
      </c>
      <c r="F32" s="7">
        <f t="shared" si="34"/>
        <v>1081.224</v>
      </c>
      <c r="G32" s="7">
        <f t="shared" si="4"/>
        <v>2162.448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6" t="s">
        <v>30</v>
      </c>
      <c r="C33" s="7">
        <v>14000.0</v>
      </c>
      <c r="D33" s="7">
        <f t="shared" si="2"/>
        <v>8400</v>
      </c>
      <c r="E33" s="7">
        <f t="shared" ref="E33:F33" si="35">if($D33&lt;15000,$D33*12/100,15000*12/100)</f>
        <v>1008</v>
      </c>
      <c r="F33" s="7">
        <f t="shared" si="35"/>
        <v>1008</v>
      </c>
      <c r="G33" s="7">
        <f t="shared" si="4"/>
        <v>2016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6" t="s">
        <v>31</v>
      </c>
      <c r="C34" s="7">
        <v>18000.0</v>
      </c>
      <c r="D34" s="7">
        <f t="shared" si="2"/>
        <v>10800</v>
      </c>
      <c r="E34" s="7">
        <f t="shared" ref="E34:F34" si="36">if($D34&lt;15000,$D34*12/100,15000*12/100)</f>
        <v>1296</v>
      </c>
      <c r="F34" s="7">
        <f t="shared" si="36"/>
        <v>1296</v>
      </c>
      <c r="G34" s="7">
        <f t="shared" si="4"/>
        <v>2592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6" t="s">
        <v>32</v>
      </c>
      <c r="C35" s="7">
        <v>16000.0</v>
      </c>
      <c r="D35" s="7">
        <f t="shared" si="2"/>
        <v>9600</v>
      </c>
      <c r="E35" s="7">
        <f t="shared" ref="E35:F35" si="37">if($D35&lt;15000,$D35*12/100,15000*12/100)</f>
        <v>1152</v>
      </c>
      <c r="F35" s="7">
        <f t="shared" si="37"/>
        <v>1152</v>
      </c>
      <c r="G35" s="7">
        <f t="shared" si="4"/>
        <v>2304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34</v>
      </c>
      <c r="B36" s="10"/>
      <c r="C36" s="11">
        <f t="shared" ref="C36:G36" si="38">sum(C2:C33)</f>
        <v>654917</v>
      </c>
      <c r="D36" s="11">
        <f t="shared" si="38"/>
        <v>392950.2</v>
      </c>
      <c r="E36" s="11">
        <f t="shared" si="38"/>
        <v>40890.024</v>
      </c>
      <c r="F36" s="11">
        <f t="shared" si="38"/>
        <v>40890.024</v>
      </c>
      <c r="G36" s="11">
        <f t="shared" si="38"/>
        <v>81780.048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4"/>
      <c r="C37" s="13"/>
      <c r="D37" s="13"/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/>
      <c r="B38" s="4"/>
      <c r="C38" s="13"/>
      <c r="D38" s="13"/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4"/>
      <c r="C39" s="13"/>
      <c r="D39" s="13"/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/>
      <c r="B40" s="4"/>
      <c r="C40" s="13"/>
      <c r="D40" s="13"/>
      <c r="E40" s="13"/>
      <c r="F40" s="13"/>
      <c r="G40" s="1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2"/>
      <c r="B1007" s="4"/>
      <c r="C1007" s="13"/>
      <c r="D1007" s="13"/>
      <c r="E1007" s="13"/>
      <c r="F1007" s="13"/>
      <c r="G1007" s="1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1">
    <mergeCell ref="A36:B36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5" t="s">
        <v>7</v>
      </c>
      <c r="C2" s="7">
        <v>70000.0</v>
      </c>
      <c r="D2" s="7">
        <f t="shared" ref="D2:D43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3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3" si="5">A2+1</f>
        <v>2</v>
      </c>
      <c r="B3" s="15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5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5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5" t="s">
        <v>11</v>
      </c>
      <c r="C6" s="7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5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5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5" t="s">
        <v>14</v>
      </c>
      <c r="C9" s="7">
        <v>15097.0</v>
      </c>
      <c r="D9" s="7">
        <f t="shared" si="2"/>
        <v>9058.2</v>
      </c>
      <c r="E9" s="7">
        <f t="shared" ref="E9:F9" si="11">if($D9&lt;15000,$D9*12/100,15000*12/100)</f>
        <v>1086.984</v>
      </c>
      <c r="F9" s="7">
        <f t="shared" si="11"/>
        <v>1086.984</v>
      </c>
      <c r="G9" s="7">
        <f t="shared" si="4"/>
        <v>2173.968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5" t="s">
        <v>16</v>
      </c>
      <c r="C10" s="7">
        <v>16500.0</v>
      </c>
      <c r="D10" s="7">
        <f t="shared" si="2"/>
        <v>9900</v>
      </c>
      <c r="E10" s="7">
        <f t="shared" ref="E10:F10" si="12">if($D10&lt;15000,$D10*12/100,15000*12/100)</f>
        <v>1188</v>
      </c>
      <c r="F10" s="7">
        <f t="shared" si="12"/>
        <v>1188</v>
      </c>
      <c r="G10" s="7">
        <f t="shared" si="4"/>
        <v>2376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5" t="s">
        <v>17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5" t="s">
        <v>18</v>
      </c>
      <c r="C12" s="7">
        <v>17129.0</v>
      </c>
      <c r="D12" s="7">
        <f t="shared" si="2"/>
        <v>10277.4</v>
      </c>
      <c r="E12" s="7">
        <f t="shared" ref="E12:F12" si="14">if($D12&lt;15000,$D12*12/100,15000*12/100)</f>
        <v>1233.288</v>
      </c>
      <c r="F12" s="7">
        <f t="shared" si="14"/>
        <v>1233.288</v>
      </c>
      <c r="G12" s="7">
        <f t="shared" si="4"/>
        <v>2466.576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5" t="s">
        <v>19</v>
      </c>
      <c r="C13" s="7">
        <v>13710.0</v>
      </c>
      <c r="D13" s="7">
        <f t="shared" si="2"/>
        <v>8226</v>
      </c>
      <c r="E13" s="7">
        <f t="shared" ref="E13:F13" si="15">if($D13&lt;15000,$D13*12/100,15000*12/100)</f>
        <v>987.12</v>
      </c>
      <c r="F13" s="7">
        <f t="shared" si="15"/>
        <v>987.12</v>
      </c>
      <c r="G13" s="7">
        <f t="shared" si="4"/>
        <v>1974.24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5" t="s">
        <v>20</v>
      </c>
      <c r="C14" s="7">
        <v>25000.0</v>
      </c>
      <c r="D14" s="7">
        <f t="shared" si="2"/>
        <v>15000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5" t="s">
        <v>21</v>
      </c>
      <c r="C15" s="7">
        <v>27000.0</v>
      </c>
      <c r="D15" s="7">
        <f t="shared" si="2"/>
        <v>16200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5" t="s">
        <v>22</v>
      </c>
      <c r="C16" s="7">
        <v>30000.0</v>
      </c>
      <c r="D16" s="7">
        <f t="shared" si="2"/>
        <v>18000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5" t="s">
        <v>23</v>
      </c>
      <c r="C17" s="7">
        <v>18000.0</v>
      </c>
      <c r="D17" s="7">
        <f t="shared" si="2"/>
        <v>10800</v>
      </c>
      <c r="E17" s="7">
        <f t="shared" ref="E17:F17" si="19">if($D17&lt;15000,$D17*12/100,15000*12/100)</f>
        <v>1296</v>
      </c>
      <c r="F17" s="7">
        <f t="shared" si="19"/>
        <v>1296</v>
      </c>
      <c r="G17" s="7">
        <f t="shared" si="4"/>
        <v>2592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5" t="s">
        <v>24</v>
      </c>
      <c r="C18" s="7">
        <v>24194.0</v>
      </c>
      <c r="D18" s="7">
        <f t="shared" si="2"/>
        <v>14516.4</v>
      </c>
      <c r="E18" s="7">
        <f t="shared" ref="E18:F18" si="20">if($D18&lt;15000,$D18*12/100,15000*12/100)</f>
        <v>1741.968</v>
      </c>
      <c r="F18" s="7">
        <f t="shared" si="20"/>
        <v>1741.968</v>
      </c>
      <c r="G18" s="7">
        <f t="shared" si="4"/>
        <v>3483.936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5" t="s">
        <v>35</v>
      </c>
      <c r="C19" s="7">
        <v>5000.0</v>
      </c>
      <c r="D19" s="7">
        <f t="shared" si="2"/>
        <v>3000</v>
      </c>
      <c r="E19" s="7">
        <f t="shared" ref="E19:F19" si="21">if($D19&lt;15000,$D19*12/100,15000*12/100)</f>
        <v>360</v>
      </c>
      <c r="F19" s="7">
        <f t="shared" si="21"/>
        <v>360</v>
      </c>
      <c r="G19" s="7">
        <f t="shared" si="4"/>
        <v>720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5" t="s">
        <v>26</v>
      </c>
      <c r="C20" s="7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5" t="s">
        <v>27</v>
      </c>
      <c r="C21" s="7">
        <v>12629.0</v>
      </c>
      <c r="D21" s="7">
        <f t="shared" si="2"/>
        <v>7577.4</v>
      </c>
      <c r="E21" s="7">
        <f t="shared" ref="E21:F21" si="23">if($D21&lt;15000,$D21*12/100,15000*12/100)</f>
        <v>909.288</v>
      </c>
      <c r="F21" s="7">
        <f t="shared" si="23"/>
        <v>909.288</v>
      </c>
      <c r="G21" s="7">
        <f t="shared" si="4"/>
        <v>1818.576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5" t="s">
        <v>28</v>
      </c>
      <c r="C22" s="7">
        <v>12790.0</v>
      </c>
      <c r="D22" s="7">
        <f t="shared" si="2"/>
        <v>7674</v>
      </c>
      <c r="E22" s="7">
        <f t="shared" ref="E22:F22" si="24">if($D22&lt;15000,$D22*12/100,15000*12/100)</f>
        <v>920.88</v>
      </c>
      <c r="F22" s="7">
        <f t="shared" si="24"/>
        <v>920.88</v>
      </c>
      <c r="G22" s="7">
        <f t="shared" si="4"/>
        <v>1841.76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5" t="s">
        <v>36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5" t="s">
        <v>37</v>
      </c>
      <c r="C24" s="7">
        <v>10000.0</v>
      </c>
      <c r="D24" s="7">
        <f t="shared" si="2"/>
        <v>6000</v>
      </c>
      <c r="E24" s="7">
        <f t="shared" ref="E24:F24" si="26">if($D24&lt;15000,$D24*12/100,15000*12/100)</f>
        <v>720</v>
      </c>
      <c r="F24" s="7">
        <f t="shared" si="26"/>
        <v>720</v>
      </c>
      <c r="G24" s="7">
        <f t="shared" si="4"/>
        <v>1440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5" t="s">
        <v>38</v>
      </c>
      <c r="C25" s="7">
        <v>22000.0</v>
      </c>
      <c r="D25" s="7">
        <f t="shared" si="2"/>
        <v>13200</v>
      </c>
      <c r="E25" s="7">
        <f t="shared" ref="E25:F25" si="27">if($D25&lt;15000,$D25*12/100,15000*12/100)</f>
        <v>1584</v>
      </c>
      <c r="F25" s="7">
        <f t="shared" si="27"/>
        <v>1584</v>
      </c>
      <c r="G25" s="7">
        <f t="shared" si="4"/>
        <v>3168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5" t="s">
        <v>39</v>
      </c>
      <c r="C26" s="7">
        <v>22000.0</v>
      </c>
      <c r="D26" s="7">
        <f t="shared" si="2"/>
        <v>13200</v>
      </c>
      <c r="E26" s="7">
        <f t="shared" ref="E26:F26" si="28">if($D26&lt;15000,$D26*12/100,15000*12/100)</f>
        <v>1584</v>
      </c>
      <c r="F26" s="7">
        <f t="shared" si="28"/>
        <v>1584</v>
      </c>
      <c r="G26" s="7">
        <f t="shared" si="4"/>
        <v>3168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5" t="s">
        <v>41</v>
      </c>
      <c r="C27" s="7">
        <v>5000.0</v>
      </c>
      <c r="D27" s="7">
        <f t="shared" si="2"/>
        <v>3000</v>
      </c>
      <c r="E27" s="7">
        <f t="shared" ref="E27:F27" si="29">if($D27&lt;15000,$D27*12/100,15000*12/100)</f>
        <v>360</v>
      </c>
      <c r="F27" s="7">
        <f t="shared" si="29"/>
        <v>360</v>
      </c>
      <c r="G27" s="7">
        <f t="shared" si="4"/>
        <v>720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5" t="s">
        <v>42</v>
      </c>
      <c r="C28" s="7">
        <v>12000.0</v>
      </c>
      <c r="D28" s="7">
        <f t="shared" si="2"/>
        <v>7200</v>
      </c>
      <c r="E28" s="7">
        <f t="shared" ref="E28:F28" si="30">if($D28&lt;15000,$D28*12/100,15000*12/100)</f>
        <v>864</v>
      </c>
      <c r="F28" s="7">
        <f t="shared" si="30"/>
        <v>864</v>
      </c>
      <c r="G28" s="7">
        <f t="shared" si="4"/>
        <v>1728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5" t="s">
        <v>43</v>
      </c>
      <c r="C29" s="7">
        <v>12000.0</v>
      </c>
      <c r="D29" s="7">
        <f t="shared" si="2"/>
        <v>7200</v>
      </c>
      <c r="E29" s="7">
        <f t="shared" ref="E29:F29" si="31">if($D29&lt;15000,$D29*12/100,15000*12/100)</f>
        <v>864</v>
      </c>
      <c r="F29" s="7">
        <f t="shared" si="31"/>
        <v>864</v>
      </c>
      <c r="G29" s="7">
        <f t="shared" si="4"/>
        <v>1728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5" t="s">
        <v>44</v>
      </c>
      <c r="C30" s="7">
        <v>8000.0</v>
      </c>
      <c r="D30" s="7">
        <f t="shared" si="2"/>
        <v>4800</v>
      </c>
      <c r="E30" s="7">
        <f t="shared" ref="E30:F30" si="32">if($D30&lt;15000,$D30*12/100,15000*12/100)</f>
        <v>576</v>
      </c>
      <c r="F30" s="7">
        <f t="shared" si="32"/>
        <v>576</v>
      </c>
      <c r="G30" s="7">
        <f t="shared" si="4"/>
        <v>1152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5" t="s">
        <v>46</v>
      </c>
      <c r="C31" s="7">
        <v>5000.0</v>
      </c>
      <c r="D31" s="7">
        <f t="shared" si="2"/>
        <v>3000</v>
      </c>
      <c r="E31" s="7">
        <f t="shared" ref="E31:F31" si="33">if($D31&lt;15000,$D31*12/100,15000*12/100)</f>
        <v>360</v>
      </c>
      <c r="F31" s="7">
        <f t="shared" si="33"/>
        <v>360</v>
      </c>
      <c r="G31" s="7">
        <f t="shared" si="4"/>
        <v>720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5" t="s">
        <v>47</v>
      </c>
      <c r="C32" s="7">
        <v>7677.0</v>
      </c>
      <c r="D32" s="7">
        <f t="shared" si="2"/>
        <v>4606.2</v>
      </c>
      <c r="E32" s="7">
        <f t="shared" ref="E32:F32" si="34">if($D32&lt;15000,$D32*12/100,15000*12/100)</f>
        <v>552.744</v>
      </c>
      <c r="F32" s="7">
        <f t="shared" si="34"/>
        <v>552.744</v>
      </c>
      <c r="G32" s="7">
        <f t="shared" si="4"/>
        <v>1105.488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5" t="s">
        <v>48</v>
      </c>
      <c r="C33" s="7">
        <v>6581.0</v>
      </c>
      <c r="D33" s="7">
        <f t="shared" si="2"/>
        <v>3948.6</v>
      </c>
      <c r="E33" s="7">
        <f t="shared" ref="E33:F33" si="35">if($D33&lt;15000,$D33*12/100,15000*12/100)</f>
        <v>473.832</v>
      </c>
      <c r="F33" s="7">
        <f t="shared" si="35"/>
        <v>473.832</v>
      </c>
      <c r="G33" s="7">
        <f t="shared" si="4"/>
        <v>947.664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2" t="s">
        <v>49</v>
      </c>
      <c r="C34" s="7">
        <v>5323.0</v>
      </c>
      <c r="D34" s="7">
        <f t="shared" si="2"/>
        <v>3193.8</v>
      </c>
      <c r="E34" s="7">
        <f t="shared" ref="E34:F34" si="36">if($D34&lt;15000,$D34*12/100,15000*12/100)</f>
        <v>383.256</v>
      </c>
      <c r="F34" s="7">
        <f t="shared" si="36"/>
        <v>383.256</v>
      </c>
      <c r="G34" s="7">
        <f t="shared" si="4"/>
        <v>766.512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2" t="s">
        <v>50</v>
      </c>
      <c r="C35" s="7">
        <v>5677.0</v>
      </c>
      <c r="D35" s="7">
        <f t="shared" si="2"/>
        <v>3406.2</v>
      </c>
      <c r="E35" s="7">
        <f t="shared" ref="E35:F35" si="37">if($D35&lt;15000,$D35*12/100,15000*12/100)</f>
        <v>408.744</v>
      </c>
      <c r="F35" s="7">
        <f t="shared" si="37"/>
        <v>408.744</v>
      </c>
      <c r="G35" s="7">
        <f t="shared" si="4"/>
        <v>817.488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2" t="s">
        <v>51</v>
      </c>
      <c r="C36" s="7">
        <v>6387.0</v>
      </c>
      <c r="D36" s="7">
        <f t="shared" si="2"/>
        <v>3832.2</v>
      </c>
      <c r="E36" s="7">
        <f t="shared" ref="E36:F36" si="38">if($D36&lt;15000,$D36*12/100,15000*12/100)</f>
        <v>459.864</v>
      </c>
      <c r="F36" s="7">
        <f t="shared" si="38"/>
        <v>459.864</v>
      </c>
      <c r="G36" s="7">
        <f t="shared" si="4"/>
        <v>919.728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2" t="s">
        <v>52</v>
      </c>
      <c r="C37" s="7">
        <v>4113.0</v>
      </c>
      <c r="D37" s="7">
        <f t="shared" si="2"/>
        <v>2467.8</v>
      </c>
      <c r="E37" s="7">
        <f t="shared" ref="E37:F37" si="39">if($D37&lt;15000,$D37*12/100,15000*12/100)</f>
        <v>296.136</v>
      </c>
      <c r="F37" s="7">
        <f t="shared" si="39"/>
        <v>296.136</v>
      </c>
      <c r="G37" s="7">
        <f t="shared" si="4"/>
        <v>592.272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30</v>
      </c>
      <c r="C38" s="7">
        <v>13774.0</v>
      </c>
      <c r="D38" s="7">
        <f t="shared" si="2"/>
        <v>8264.4</v>
      </c>
      <c r="E38" s="7">
        <f t="shared" ref="E38:F38" si="40">if($D38&lt;15000,$D38*12/100,15000*12/100)</f>
        <v>991.728</v>
      </c>
      <c r="F38" s="7">
        <f t="shared" si="40"/>
        <v>991.728</v>
      </c>
      <c r="G38" s="7">
        <f t="shared" si="4"/>
        <v>1983.456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31</v>
      </c>
      <c r="C39" s="7">
        <v>18000.0</v>
      </c>
      <c r="D39" s="7">
        <f t="shared" si="2"/>
        <v>10800</v>
      </c>
      <c r="E39" s="7">
        <f t="shared" ref="E39:F39" si="41">if($D39&lt;15000,$D39*12/100,15000*12/100)</f>
        <v>1296</v>
      </c>
      <c r="F39" s="7">
        <f t="shared" si="41"/>
        <v>1296</v>
      </c>
      <c r="G39" s="7">
        <f t="shared" si="4"/>
        <v>2592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32</v>
      </c>
      <c r="C40" s="7">
        <v>16000.0</v>
      </c>
      <c r="D40" s="7">
        <f t="shared" si="2"/>
        <v>9600</v>
      </c>
      <c r="E40" s="7">
        <f t="shared" ref="E40:F40" si="42">if($D40&lt;15000,$D40*12/100,15000*12/100)</f>
        <v>1152</v>
      </c>
      <c r="F40" s="7">
        <f t="shared" si="42"/>
        <v>1152</v>
      </c>
      <c r="G40" s="7">
        <f t="shared" si="4"/>
        <v>2304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53</v>
      </c>
      <c r="C41" s="7">
        <v>12065.0</v>
      </c>
      <c r="D41" s="7">
        <f t="shared" si="2"/>
        <v>7239</v>
      </c>
      <c r="E41" s="7">
        <f t="shared" ref="E41:F41" si="43">if($D41&lt;15000,$D41*12/100,15000*12/100)</f>
        <v>868.68</v>
      </c>
      <c r="F41" s="7">
        <f t="shared" si="43"/>
        <v>868.68</v>
      </c>
      <c r="G41" s="7">
        <f t="shared" si="4"/>
        <v>1737.36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54</v>
      </c>
      <c r="C42" s="7">
        <v>11516.0</v>
      </c>
      <c r="D42" s="7">
        <f t="shared" si="2"/>
        <v>6909.6</v>
      </c>
      <c r="E42" s="7">
        <f t="shared" ref="E42:F42" si="44">if($D42&lt;15000,$D42*12/100,15000*12/100)</f>
        <v>829.152</v>
      </c>
      <c r="F42" s="7">
        <f t="shared" si="44"/>
        <v>829.152</v>
      </c>
      <c r="G42" s="7">
        <f t="shared" si="4"/>
        <v>1658.304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55</v>
      </c>
      <c r="C43" s="7">
        <v>6097.0</v>
      </c>
      <c r="D43" s="7">
        <f t="shared" si="2"/>
        <v>3658.2</v>
      </c>
      <c r="E43" s="7">
        <f t="shared" ref="E43:F43" si="45">if($D43&lt;15000,$D43*12/100,15000*12/100)</f>
        <v>438.984</v>
      </c>
      <c r="F43" s="7">
        <f t="shared" si="45"/>
        <v>438.984</v>
      </c>
      <c r="G43" s="7">
        <f t="shared" si="4"/>
        <v>877.968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34</v>
      </c>
      <c r="B44" s="10"/>
      <c r="C44" s="11">
        <f t="shared" ref="C44:G44" si="46">sum(C2:C43)</f>
        <v>737259</v>
      </c>
      <c r="D44" s="11">
        <f t="shared" si="46"/>
        <v>442355.4</v>
      </c>
      <c r="E44" s="11">
        <f t="shared" si="46"/>
        <v>46962.648</v>
      </c>
      <c r="F44" s="11">
        <f t="shared" si="46"/>
        <v>46962.648</v>
      </c>
      <c r="G44" s="11">
        <f t="shared" si="46"/>
        <v>93925.296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1">
    <mergeCell ref="A44:B44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0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0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0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29032.0</v>
      </c>
      <c r="D5" s="7">
        <f t="shared" si="2"/>
        <v>17419.2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11</v>
      </c>
      <c r="C6" s="7">
        <v>24597.0</v>
      </c>
      <c r="D6" s="7">
        <f t="shared" si="2"/>
        <v>14758.2</v>
      </c>
      <c r="E6" s="7">
        <f t="shared" ref="E6:F6" si="8">if($D6&lt;15000,$D6*12/100,15000*12/100)</f>
        <v>1770.984</v>
      </c>
      <c r="F6" s="7">
        <f t="shared" si="8"/>
        <v>1770.984</v>
      </c>
      <c r="G6" s="7">
        <f t="shared" si="4"/>
        <v>3541.968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16</v>
      </c>
      <c r="C9" s="7">
        <v>16500.0</v>
      </c>
      <c r="D9" s="7">
        <f t="shared" si="2"/>
        <v>9900</v>
      </c>
      <c r="E9" s="7">
        <f t="shared" ref="E9:F9" si="11">if($D9&lt;15000,$D9*12/100,15000*12/100)</f>
        <v>1188</v>
      </c>
      <c r="F9" s="7">
        <f t="shared" si="11"/>
        <v>1188</v>
      </c>
      <c r="G9" s="7">
        <f t="shared" si="4"/>
        <v>2376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18</v>
      </c>
      <c r="C11" s="7">
        <v>18000.0</v>
      </c>
      <c r="D11" s="7">
        <f t="shared" si="2"/>
        <v>10800</v>
      </c>
      <c r="E11" s="7">
        <f t="shared" ref="E11:F11" si="13">if($D11&lt;15000,$D11*12/100,15000*12/100)</f>
        <v>1296</v>
      </c>
      <c r="F11" s="7">
        <f t="shared" si="13"/>
        <v>1296</v>
      </c>
      <c r="G11" s="7">
        <f t="shared" si="4"/>
        <v>2592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19</v>
      </c>
      <c r="C12" s="7">
        <v>16452.0</v>
      </c>
      <c r="D12" s="7">
        <f t="shared" si="2"/>
        <v>9871.2</v>
      </c>
      <c r="E12" s="7">
        <f t="shared" ref="E12:F12" si="14">if($D12&lt;15000,$D12*12/100,15000*12/100)</f>
        <v>1184.544</v>
      </c>
      <c r="F12" s="7">
        <f t="shared" si="14"/>
        <v>1184.544</v>
      </c>
      <c r="G12" s="7">
        <f t="shared" si="4"/>
        <v>2369.088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20</v>
      </c>
      <c r="C13" s="7">
        <v>25000.0</v>
      </c>
      <c r="D13" s="7">
        <f t="shared" si="2"/>
        <v>15000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21</v>
      </c>
      <c r="C14" s="7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22</v>
      </c>
      <c r="C15" s="7">
        <v>30000.0</v>
      </c>
      <c r="D15" s="7">
        <f t="shared" si="2"/>
        <v>18000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23</v>
      </c>
      <c r="C16" s="7">
        <v>18000.0</v>
      </c>
      <c r="D16" s="7">
        <f t="shared" si="2"/>
        <v>10800</v>
      </c>
      <c r="E16" s="7">
        <f t="shared" ref="E16:F16" si="18">if($D16&lt;15000,$D16*12/100,15000*12/100)</f>
        <v>1296</v>
      </c>
      <c r="F16" s="7">
        <f t="shared" si="18"/>
        <v>1296</v>
      </c>
      <c r="G16" s="7">
        <f t="shared" si="4"/>
        <v>2592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24</v>
      </c>
      <c r="C17" s="7">
        <v>25000.0</v>
      </c>
      <c r="D17" s="7">
        <f t="shared" si="2"/>
        <v>15000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35</v>
      </c>
      <c r="C18" s="7">
        <v>5000.0</v>
      </c>
      <c r="D18" s="7">
        <f t="shared" si="2"/>
        <v>3000</v>
      </c>
      <c r="E18" s="7">
        <f t="shared" ref="E18:F18" si="20">if($D18&lt;15000,$D18*12/100,15000*12/100)</f>
        <v>360</v>
      </c>
      <c r="F18" s="7">
        <f t="shared" si="20"/>
        <v>360</v>
      </c>
      <c r="G18" s="7">
        <f t="shared" si="4"/>
        <v>720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26</v>
      </c>
      <c r="C19" s="7">
        <v>27000.0</v>
      </c>
      <c r="D19" s="7">
        <f t="shared" si="2"/>
        <v>16200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28</v>
      </c>
      <c r="C20" s="7">
        <v>13000.0</v>
      </c>
      <c r="D20" s="7">
        <f t="shared" si="2"/>
        <v>7800</v>
      </c>
      <c r="E20" s="7">
        <f t="shared" ref="E20:F20" si="22">if($D20&lt;15000,$D20*12/100,15000*12/100)</f>
        <v>936</v>
      </c>
      <c r="F20" s="7">
        <f t="shared" si="22"/>
        <v>936</v>
      </c>
      <c r="G20" s="7">
        <f t="shared" si="4"/>
        <v>1872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36</v>
      </c>
      <c r="C21" s="7">
        <v>22000.0</v>
      </c>
      <c r="D21" s="7">
        <f t="shared" si="2"/>
        <v>13200</v>
      </c>
      <c r="E21" s="7">
        <f t="shared" ref="E21:F21" si="23">if($D21&lt;15000,$D21*12/100,15000*12/100)</f>
        <v>1584</v>
      </c>
      <c r="F21" s="7">
        <f t="shared" si="23"/>
        <v>1584</v>
      </c>
      <c r="G21" s="7">
        <f t="shared" si="4"/>
        <v>3168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37</v>
      </c>
      <c r="C22" s="7">
        <v>10000.0</v>
      </c>
      <c r="D22" s="7">
        <f t="shared" si="2"/>
        <v>6000</v>
      </c>
      <c r="E22" s="7">
        <f t="shared" ref="E22:F22" si="24">if($D22&lt;15000,$D22*12/100,15000*12/100)</f>
        <v>720</v>
      </c>
      <c r="F22" s="7">
        <f t="shared" si="24"/>
        <v>720</v>
      </c>
      <c r="G22" s="7">
        <f t="shared" si="4"/>
        <v>1440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38</v>
      </c>
      <c r="C23" s="7">
        <v>19161.0</v>
      </c>
      <c r="D23" s="7">
        <f t="shared" si="2"/>
        <v>11496.6</v>
      </c>
      <c r="E23" s="7">
        <f t="shared" ref="E23:F23" si="25">if($D23&lt;15000,$D23*12/100,15000*12/100)</f>
        <v>1379.592</v>
      </c>
      <c r="F23" s="7">
        <f t="shared" si="25"/>
        <v>1379.592</v>
      </c>
      <c r="G23" s="7">
        <f t="shared" si="4"/>
        <v>2759.184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39</v>
      </c>
      <c r="C24" s="7">
        <v>22000.0</v>
      </c>
      <c r="D24" s="7">
        <f t="shared" si="2"/>
        <v>13200</v>
      </c>
      <c r="E24" s="7">
        <f t="shared" ref="E24:F24" si="26">if($D24&lt;15000,$D24*12/100,15000*12/100)</f>
        <v>1584</v>
      </c>
      <c r="F24" s="7">
        <f t="shared" si="26"/>
        <v>1584</v>
      </c>
      <c r="G24" s="7">
        <f t="shared" si="4"/>
        <v>3168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42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43</v>
      </c>
      <c r="C26" s="7">
        <v>12000.0</v>
      </c>
      <c r="D26" s="7">
        <f t="shared" si="2"/>
        <v>7200</v>
      </c>
      <c r="E26" s="7">
        <f t="shared" ref="E26:F26" si="28">if($D26&lt;15000,$D26*12/100,15000*12/100)</f>
        <v>864</v>
      </c>
      <c r="F26" s="7">
        <f t="shared" si="28"/>
        <v>864</v>
      </c>
      <c r="G26" s="7">
        <f t="shared" si="4"/>
        <v>1728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44</v>
      </c>
      <c r="C27" s="7">
        <v>8000.0</v>
      </c>
      <c r="D27" s="7">
        <f t="shared" si="2"/>
        <v>4800</v>
      </c>
      <c r="E27" s="7">
        <f t="shared" ref="E27:F27" si="29">if($D27&lt;15000,$D27*12/100,15000*12/100)</f>
        <v>576</v>
      </c>
      <c r="F27" s="7">
        <f t="shared" si="29"/>
        <v>576</v>
      </c>
      <c r="G27" s="7">
        <f t="shared" si="4"/>
        <v>1152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47</v>
      </c>
      <c r="C28" s="7">
        <v>15903.0</v>
      </c>
      <c r="D28" s="7">
        <f t="shared" si="2"/>
        <v>9541.8</v>
      </c>
      <c r="E28" s="7">
        <f t="shared" ref="E28:F28" si="30">if($D28&lt;15000,$D28*12/100,15000*12/100)</f>
        <v>1145.016</v>
      </c>
      <c r="F28" s="7">
        <f t="shared" si="30"/>
        <v>1145.016</v>
      </c>
      <c r="G28" s="7">
        <f t="shared" si="4"/>
        <v>2290.032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48</v>
      </c>
      <c r="C29" s="7">
        <v>12000.0</v>
      </c>
      <c r="D29" s="7">
        <f t="shared" si="2"/>
        <v>7200</v>
      </c>
      <c r="E29" s="7">
        <f t="shared" ref="E29:F29" si="31">if($D29&lt;15000,$D29*12/100,15000*12/100)</f>
        <v>864</v>
      </c>
      <c r="F29" s="7">
        <f t="shared" si="31"/>
        <v>864</v>
      </c>
      <c r="G29" s="7">
        <f t="shared" si="4"/>
        <v>1728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49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50</v>
      </c>
      <c r="C31" s="7">
        <v>14710.0</v>
      </c>
      <c r="D31" s="7">
        <f t="shared" si="2"/>
        <v>8826</v>
      </c>
      <c r="E31" s="7">
        <f t="shared" ref="E31:F31" si="33">if($D31&lt;15000,$D31*12/100,15000*12/100)</f>
        <v>1059.12</v>
      </c>
      <c r="F31" s="7">
        <f t="shared" si="33"/>
        <v>1059.12</v>
      </c>
      <c r="G31" s="7">
        <f t="shared" si="4"/>
        <v>2118.24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51</v>
      </c>
      <c r="C32" s="7">
        <v>19161.0</v>
      </c>
      <c r="D32" s="7">
        <f t="shared" si="2"/>
        <v>11496.6</v>
      </c>
      <c r="E32" s="7">
        <f t="shared" ref="E32:F32" si="34">if($D32&lt;15000,$D32*12/100,15000*12/100)</f>
        <v>1379.592</v>
      </c>
      <c r="F32" s="7">
        <f t="shared" si="34"/>
        <v>1379.592</v>
      </c>
      <c r="G32" s="7">
        <f t="shared" si="4"/>
        <v>2759.184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56</v>
      </c>
      <c r="C33" s="7">
        <v>18500.0</v>
      </c>
      <c r="D33" s="7">
        <f t="shared" si="2"/>
        <v>11100</v>
      </c>
      <c r="E33" s="7">
        <f t="shared" ref="E33:F33" si="35">if($D33&lt;15000,$D33*12/100,15000*12/100)</f>
        <v>1332</v>
      </c>
      <c r="F33" s="7">
        <f t="shared" si="35"/>
        <v>1332</v>
      </c>
      <c r="G33" s="7">
        <f t="shared" si="4"/>
        <v>2664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57</v>
      </c>
      <c r="C34" s="7">
        <v>5000.0</v>
      </c>
      <c r="D34" s="7">
        <f t="shared" si="2"/>
        <v>3000</v>
      </c>
      <c r="E34" s="7">
        <f t="shared" ref="E34:F34" si="36">if($D34&lt;15000,$D34*12/100,15000*12/100)</f>
        <v>360</v>
      </c>
      <c r="F34" s="7">
        <f t="shared" si="36"/>
        <v>360</v>
      </c>
      <c r="G34" s="7">
        <f t="shared" si="4"/>
        <v>720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30</v>
      </c>
      <c r="C35" s="7">
        <v>13323.0</v>
      </c>
      <c r="D35" s="7">
        <f t="shared" si="2"/>
        <v>7993.8</v>
      </c>
      <c r="E35" s="7">
        <f t="shared" ref="E35:F35" si="37">if($D35&lt;15000,$D35*12/100,15000*12/100)</f>
        <v>959.256</v>
      </c>
      <c r="F35" s="7">
        <f t="shared" si="37"/>
        <v>959.256</v>
      </c>
      <c r="G35" s="7">
        <f t="shared" si="4"/>
        <v>1918.512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31</v>
      </c>
      <c r="C36" s="7">
        <v>18000.0</v>
      </c>
      <c r="D36" s="7">
        <f t="shared" si="2"/>
        <v>10800</v>
      </c>
      <c r="E36" s="7">
        <f t="shared" ref="E36:F36" si="38">if($D36&lt;15000,$D36*12/100,15000*12/100)</f>
        <v>1296</v>
      </c>
      <c r="F36" s="7">
        <f t="shared" si="38"/>
        <v>1296</v>
      </c>
      <c r="G36" s="7">
        <f t="shared" si="4"/>
        <v>2592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32</v>
      </c>
      <c r="C37" s="7">
        <v>16000.0</v>
      </c>
      <c r="D37" s="7">
        <f t="shared" si="2"/>
        <v>9600</v>
      </c>
      <c r="E37" s="7">
        <f t="shared" ref="E37:F37" si="39">if($D37&lt;15000,$D37*12/100,15000*12/100)</f>
        <v>1152</v>
      </c>
      <c r="F37" s="7">
        <f t="shared" si="39"/>
        <v>1152</v>
      </c>
      <c r="G37" s="7">
        <f t="shared" si="4"/>
        <v>2304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53</v>
      </c>
      <c r="C38" s="7">
        <v>17000.0</v>
      </c>
      <c r="D38" s="7">
        <f t="shared" si="2"/>
        <v>10200</v>
      </c>
      <c r="E38" s="7">
        <f t="shared" ref="E38:F38" si="40">if($D38&lt;15000,$D38*12/100,15000*12/100)</f>
        <v>1224</v>
      </c>
      <c r="F38" s="7">
        <f t="shared" si="40"/>
        <v>1224</v>
      </c>
      <c r="G38" s="7">
        <f t="shared" si="4"/>
        <v>2448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54</v>
      </c>
      <c r="C39" s="7">
        <v>17000.0</v>
      </c>
      <c r="D39" s="7">
        <f t="shared" si="2"/>
        <v>10200</v>
      </c>
      <c r="E39" s="7">
        <f t="shared" ref="E39:F39" si="41">if($D39&lt;15000,$D39*12/100,15000*12/100)</f>
        <v>1224</v>
      </c>
      <c r="F39" s="7">
        <f t="shared" si="41"/>
        <v>1224</v>
      </c>
      <c r="G39" s="7">
        <f t="shared" si="4"/>
        <v>2448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55</v>
      </c>
      <c r="C40" s="7">
        <v>8710.0</v>
      </c>
      <c r="D40" s="7">
        <f t="shared" si="2"/>
        <v>5226</v>
      </c>
      <c r="E40" s="7">
        <f t="shared" ref="E40:F40" si="42">if($D40&lt;15000,$D40*12/100,15000*12/100)</f>
        <v>627.12</v>
      </c>
      <c r="F40" s="7">
        <f t="shared" si="42"/>
        <v>627.12</v>
      </c>
      <c r="G40" s="7">
        <f t="shared" si="4"/>
        <v>1254.24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34</v>
      </c>
      <c r="B41" s="10"/>
      <c r="C41" s="11">
        <f t="shared" ref="C41:G41" si="43">sum(C2:C40)</f>
        <v>777049</v>
      </c>
      <c r="D41" s="11">
        <f t="shared" si="43"/>
        <v>466229.4</v>
      </c>
      <c r="E41" s="11">
        <f t="shared" si="43"/>
        <v>49897.224</v>
      </c>
      <c r="F41" s="11">
        <f t="shared" si="43"/>
        <v>49897.224</v>
      </c>
      <c r="G41" s="11">
        <f t="shared" si="43"/>
        <v>99794.448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41:B41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39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39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39" si="5">A2+1</f>
        <v>2</v>
      </c>
      <c r="B3" s="17" t="s">
        <v>8</v>
      </c>
      <c r="C3" s="7">
        <v>47500.0</v>
      </c>
      <c r="D3" s="7">
        <f t="shared" si="2"/>
        <v>28500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30968.0</v>
      </c>
      <c r="D5" s="7">
        <f t="shared" si="2"/>
        <v>18580.8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11</v>
      </c>
      <c r="C6" s="7">
        <v>24167.0</v>
      </c>
      <c r="D6" s="7">
        <f t="shared" si="2"/>
        <v>14500.2</v>
      </c>
      <c r="E6" s="7">
        <f t="shared" ref="E6:F6" si="8">if($D6&lt;15000,$D6*12/100,15000*12/100)</f>
        <v>1740.024</v>
      </c>
      <c r="F6" s="7">
        <f t="shared" si="8"/>
        <v>1740.024</v>
      </c>
      <c r="G6" s="7">
        <f t="shared" si="4"/>
        <v>3480.048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16</v>
      </c>
      <c r="C9" s="7">
        <v>14850.0</v>
      </c>
      <c r="D9" s="7">
        <f t="shared" si="2"/>
        <v>8910</v>
      </c>
      <c r="E9" s="7">
        <f t="shared" ref="E9:F9" si="11">if($D9&lt;15000,$D9*12/100,15000*12/100)</f>
        <v>1069.2</v>
      </c>
      <c r="F9" s="7">
        <f t="shared" si="11"/>
        <v>1069.2</v>
      </c>
      <c r="G9" s="7">
        <f t="shared" si="4"/>
        <v>2138.4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17</v>
      </c>
      <c r="C10" s="7">
        <v>20300.0</v>
      </c>
      <c r="D10" s="7">
        <f t="shared" si="2"/>
        <v>12180</v>
      </c>
      <c r="E10" s="7">
        <f t="shared" ref="E10:F10" si="12">if($D10&lt;15000,$D10*12/100,15000*12/100)</f>
        <v>1461.6</v>
      </c>
      <c r="F10" s="7">
        <f t="shared" si="12"/>
        <v>1461.6</v>
      </c>
      <c r="G10" s="7">
        <f t="shared" si="4"/>
        <v>2923.2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18</v>
      </c>
      <c r="C11" s="7">
        <v>17700.0</v>
      </c>
      <c r="D11" s="7">
        <f t="shared" si="2"/>
        <v>10620</v>
      </c>
      <c r="E11" s="7">
        <f t="shared" ref="E11:F11" si="13">if($D11&lt;15000,$D11*12/100,15000*12/100)</f>
        <v>1274.4</v>
      </c>
      <c r="F11" s="7">
        <f t="shared" si="13"/>
        <v>1274.4</v>
      </c>
      <c r="G11" s="7">
        <f t="shared" si="4"/>
        <v>2548.8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19</v>
      </c>
      <c r="C12" s="7">
        <v>17000.0</v>
      </c>
      <c r="D12" s="7">
        <f t="shared" si="2"/>
        <v>10200</v>
      </c>
      <c r="E12" s="7">
        <f t="shared" ref="E12:F12" si="14">if($D12&lt;15000,$D12*12/100,15000*12/100)</f>
        <v>1224</v>
      </c>
      <c r="F12" s="7">
        <f t="shared" si="14"/>
        <v>1224</v>
      </c>
      <c r="G12" s="7">
        <f t="shared" si="4"/>
        <v>2448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20</v>
      </c>
      <c r="C13" s="7">
        <v>24167.0</v>
      </c>
      <c r="D13" s="7">
        <f t="shared" si="2"/>
        <v>14500.2</v>
      </c>
      <c r="E13" s="7">
        <f t="shared" ref="E13:F13" si="15">if($D13&lt;15000,$D13*12/100,15000*12/100)</f>
        <v>1740.024</v>
      </c>
      <c r="F13" s="7">
        <f t="shared" si="15"/>
        <v>1740.024</v>
      </c>
      <c r="G13" s="7">
        <f t="shared" si="4"/>
        <v>3480.048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21</v>
      </c>
      <c r="C14" s="7">
        <v>25200.0</v>
      </c>
      <c r="D14" s="7">
        <f t="shared" si="2"/>
        <v>15120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22</v>
      </c>
      <c r="C15" s="7">
        <v>30000.0</v>
      </c>
      <c r="D15" s="7">
        <f t="shared" si="2"/>
        <v>18000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23</v>
      </c>
      <c r="C16" s="7">
        <v>16200.0</v>
      </c>
      <c r="D16" s="7">
        <f t="shared" si="2"/>
        <v>9720</v>
      </c>
      <c r="E16" s="7">
        <f t="shared" ref="E16:F16" si="18">if($D16&lt;15000,$D16*12/100,15000*12/100)</f>
        <v>1166.4</v>
      </c>
      <c r="F16" s="7">
        <f t="shared" si="18"/>
        <v>1166.4</v>
      </c>
      <c r="G16" s="7">
        <f t="shared" si="4"/>
        <v>2332.8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24</v>
      </c>
      <c r="C17" s="7">
        <v>22500.0</v>
      </c>
      <c r="D17" s="7">
        <f t="shared" si="2"/>
        <v>13500</v>
      </c>
      <c r="E17" s="7">
        <f t="shared" ref="E17:F17" si="19">if($D17&lt;15000,$D17*12/100,15000*12/100)</f>
        <v>1620</v>
      </c>
      <c r="F17" s="7">
        <f t="shared" si="19"/>
        <v>1620</v>
      </c>
      <c r="G17" s="7">
        <f t="shared" si="4"/>
        <v>3240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35</v>
      </c>
      <c r="C18" s="7">
        <v>4667.0</v>
      </c>
      <c r="D18" s="7">
        <f t="shared" si="2"/>
        <v>2800.2</v>
      </c>
      <c r="E18" s="7">
        <f t="shared" ref="E18:F18" si="20">if($D18&lt;15000,$D18*12/100,15000*12/100)</f>
        <v>336.024</v>
      </c>
      <c r="F18" s="7">
        <f t="shared" si="20"/>
        <v>336.024</v>
      </c>
      <c r="G18" s="7">
        <f t="shared" si="4"/>
        <v>672.048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26</v>
      </c>
      <c r="C19" s="7">
        <v>26100.0</v>
      </c>
      <c r="D19" s="7">
        <f t="shared" si="2"/>
        <v>15660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28</v>
      </c>
      <c r="C20" s="7">
        <v>12783.0</v>
      </c>
      <c r="D20" s="7">
        <f t="shared" si="2"/>
        <v>7669.8</v>
      </c>
      <c r="E20" s="7">
        <f t="shared" ref="E20:F20" si="22">if($D20&lt;15000,$D20*12/100,15000*12/100)</f>
        <v>920.376</v>
      </c>
      <c r="F20" s="7">
        <f t="shared" si="22"/>
        <v>920.376</v>
      </c>
      <c r="G20" s="7">
        <f t="shared" si="4"/>
        <v>1840.752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36</v>
      </c>
      <c r="C21" s="7">
        <v>21267.0</v>
      </c>
      <c r="D21" s="7">
        <f t="shared" si="2"/>
        <v>12760.2</v>
      </c>
      <c r="E21" s="7">
        <f t="shared" ref="E21:F21" si="23">if($D21&lt;15000,$D21*12/100,15000*12/100)</f>
        <v>1531.224</v>
      </c>
      <c r="F21" s="7">
        <f t="shared" si="23"/>
        <v>1531.224</v>
      </c>
      <c r="G21" s="7">
        <f t="shared" si="4"/>
        <v>3062.448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37</v>
      </c>
      <c r="C22" s="7">
        <v>10000.0</v>
      </c>
      <c r="D22" s="7">
        <f t="shared" si="2"/>
        <v>6000</v>
      </c>
      <c r="E22" s="7">
        <f t="shared" ref="E22:F22" si="24">if($D22&lt;15000,$D22*12/100,15000*12/100)</f>
        <v>720</v>
      </c>
      <c r="F22" s="7">
        <f t="shared" si="24"/>
        <v>720</v>
      </c>
      <c r="G22" s="7">
        <f t="shared" si="4"/>
        <v>1440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38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39</v>
      </c>
      <c r="C24" s="7">
        <v>22000.0</v>
      </c>
      <c r="D24" s="7">
        <f t="shared" si="2"/>
        <v>13200</v>
      </c>
      <c r="E24" s="7">
        <f t="shared" ref="E24:F24" si="26">if($D24&lt;15000,$D24*12/100,15000*12/100)</f>
        <v>1584</v>
      </c>
      <c r="F24" s="7">
        <f t="shared" si="26"/>
        <v>1584</v>
      </c>
      <c r="G24" s="7">
        <f t="shared" si="4"/>
        <v>3168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42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43</v>
      </c>
      <c r="C26" s="7">
        <v>12000.0</v>
      </c>
      <c r="D26" s="7">
        <f t="shared" si="2"/>
        <v>7200</v>
      </c>
      <c r="E26" s="7">
        <f t="shared" ref="E26:F26" si="28">if($D26&lt;15000,$D26*12/100,15000*12/100)</f>
        <v>864</v>
      </c>
      <c r="F26" s="7">
        <f t="shared" si="28"/>
        <v>864</v>
      </c>
      <c r="G26" s="7">
        <f t="shared" si="4"/>
        <v>1728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44</v>
      </c>
      <c r="C27" s="7">
        <v>7733.0</v>
      </c>
      <c r="D27" s="7">
        <f t="shared" si="2"/>
        <v>4639.8</v>
      </c>
      <c r="E27" s="7">
        <f t="shared" ref="E27:F27" si="29">if($D27&lt;15000,$D27*12/100,15000*12/100)</f>
        <v>556.776</v>
      </c>
      <c r="F27" s="7">
        <f t="shared" si="29"/>
        <v>556.776</v>
      </c>
      <c r="G27" s="7">
        <f t="shared" si="4"/>
        <v>1113.552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47</v>
      </c>
      <c r="C28" s="7">
        <v>16150.0</v>
      </c>
      <c r="D28" s="7">
        <f t="shared" si="2"/>
        <v>9690</v>
      </c>
      <c r="E28" s="7">
        <f t="shared" ref="E28:F28" si="30">if($D28&lt;15000,$D28*12/100,15000*12/100)</f>
        <v>1162.8</v>
      </c>
      <c r="F28" s="7">
        <f t="shared" si="30"/>
        <v>1162.8</v>
      </c>
      <c r="G28" s="7">
        <f t="shared" si="4"/>
        <v>2325.6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48</v>
      </c>
      <c r="C29" s="7">
        <v>12000.0</v>
      </c>
      <c r="D29" s="7">
        <f t="shared" si="2"/>
        <v>7200</v>
      </c>
      <c r="E29" s="7">
        <f t="shared" ref="E29:F29" si="31">if($D29&lt;15000,$D29*12/100,15000*12/100)</f>
        <v>864</v>
      </c>
      <c r="F29" s="7">
        <f t="shared" si="31"/>
        <v>864</v>
      </c>
      <c r="G29" s="7">
        <f t="shared" si="4"/>
        <v>1728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49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51</v>
      </c>
      <c r="C31" s="7">
        <v>19067.0</v>
      </c>
      <c r="D31" s="7">
        <f t="shared" si="2"/>
        <v>11440.2</v>
      </c>
      <c r="E31" s="7">
        <f t="shared" ref="E31:F31" si="33">if($D31&lt;15000,$D31*12/100,15000*12/100)</f>
        <v>1372.824</v>
      </c>
      <c r="F31" s="7">
        <f t="shared" si="33"/>
        <v>1372.824</v>
      </c>
      <c r="G31" s="7">
        <f t="shared" si="4"/>
        <v>2745.648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56</v>
      </c>
      <c r="C32" s="7">
        <v>18192.0</v>
      </c>
      <c r="D32" s="7">
        <f t="shared" si="2"/>
        <v>10915.2</v>
      </c>
      <c r="E32" s="7">
        <f t="shared" ref="E32:F32" si="34">if($D32&lt;15000,$D32*12/100,15000*12/100)</f>
        <v>1309.824</v>
      </c>
      <c r="F32" s="7">
        <f t="shared" si="34"/>
        <v>1309.824</v>
      </c>
      <c r="G32" s="7">
        <f t="shared" si="4"/>
        <v>2619.648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57</v>
      </c>
      <c r="C33" s="7">
        <v>5000.0</v>
      </c>
      <c r="D33" s="7">
        <f t="shared" si="2"/>
        <v>3000</v>
      </c>
      <c r="E33" s="7">
        <f t="shared" ref="E33:F33" si="35">if($D33&lt;15000,$D33*12/100,15000*12/100)</f>
        <v>360</v>
      </c>
      <c r="F33" s="7">
        <f t="shared" si="35"/>
        <v>360</v>
      </c>
      <c r="G33" s="7">
        <f t="shared" si="4"/>
        <v>720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30</v>
      </c>
      <c r="C34" s="7">
        <v>14000.0</v>
      </c>
      <c r="D34" s="7">
        <f t="shared" si="2"/>
        <v>8400</v>
      </c>
      <c r="E34" s="7">
        <f t="shared" ref="E34:F34" si="36">if($D34&lt;15000,$D34*12/100,15000*12/100)</f>
        <v>1008</v>
      </c>
      <c r="F34" s="7">
        <f t="shared" si="36"/>
        <v>1008</v>
      </c>
      <c r="G34" s="7">
        <f t="shared" si="4"/>
        <v>2016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31</v>
      </c>
      <c r="C35" s="7">
        <v>17400.0</v>
      </c>
      <c r="D35" s="7">
        <f t="shared" si="2"/>
        <v>10440</v>
      </c>
      <c r="E35" s="7">
        <f t="shared" ref="E35:F35" si="37">if($D35&lt;15000,$D35*12/100,15000*12/100)</f>
        <v>1252.8</v>
      </c>
      <c r="F35" s="7">
        <f t="shared" si="37"/>
        <v>1252.8</v>
      </c>
      <c r="G35" s="7">
        <f t="shared" si="4"/>
        <v>2505.6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32</v>
      </c>
      <c r="C36" s="7">
        <v>16000.0</v>
      </c>
      <c r="D36" s="7">
        <f t="shared" si="2"/>
        <v>9600</v>
      </c>
      <c r="E36" s="7">
        <f t="shared" ref="E36:F36" si="38">if($D36&lt;15000,$D36*12/100,15000*12/100)</f>
        <v>1152</v>
      </c>
      <c r="F36" s="7">
        <f t="shared" si="38"/>
        <v>1152</v>
      </c>
      <c r="G36" s="7">
        <f t="shared" si="4"/>
        <v>2304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53</v>
      </c>
      <c r="C37" s="7">
        <v>17000.0</v>
      </c>
      <c r="D37" s="7">
        <f t="shared" si="2"/>
        <v>10200</v>
      </c>
      <c r="E37" s="7">
        <f t="shared" ref="E37:F37" si="39">if($D37&lt;15000,$D37*12/100,15000*12/100)</f>
        <v>1224</v>
      </c>
      <c r="F37" s="7">
        <f t="shared" si="39"/>
        <v>1224</v>
      </c>
      <c r="G37" s="7">
        <f t="shared" si="4"/>
        <v>2448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54</v>
      </c>
      <c r="C38" s="7">
        <v>16433.0</v>
      </c>
      <c r="D38" s="7">
        <f t="shared" si="2"/>
        <v>9859.8</v>
      </c>
      <c r="E38" s="7">
        <f t="shared" ref="E38:F38" si="40">if($D38&lt;15000,$D38*12/100,15000*12/100)</f>
        <v>1183.176</v>
      </c>
      <c r="F38" s="7">
        <f t="shared" si="40"/>
        <v>1183.176</v>
      </c>
      <c r="G38" s="7">
        <f t="shared" si="4"/>
        <v>2366.352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55</v>
      </c>
      <c r="C39" s="7">
        <v>9275.0</v>
      </c>
      <c r="D39" s="7">
        <f t="shared" si="2"/>
        <v>5565</v>
      </c>
      <c r="E39" s="7">
        <f t="shared" ref="E39:F39" si="41">if($D39&lt;15000,$D39*12/100,15000*12/100)</f>
        <v>667.8</v>
      </c>
      <c r="F39" s="7">
        <f t="shared" si="41"/>
        <v>667.8</v>
      </c>
      <c r="G39" s="7">
        <f t="shared" si="4"/>
        <v>1335.6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34</v>
      </c>
      <c r="B40" s="10"/>
      <c r="C40" s="11">
        <f t="shared" ref="C40:G40" si="42">sum(C2:C39)</f>
        <v>752619</v>
      </c>
      <c r="D40" s="11">
        <f t="shared" si="42"/>
        <v>451571.4</v>
      </c>
      <c r="E40" s="11">
        <f t="shared" si="42"/>
        <v>48373.272</v>
      </c>
      <c r="F40" s="11">
        <f t="shared" si="42"/>
        <v>48373.272</v>
      </c>
      <c r="G40" s="11">
        <f t="shared" si="42"/>
        <v>96746.544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40:B40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39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39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39" si="5">A2+1</f>
        <v>2</v>
      </c>
      <c r="B3" s="17" t="s">
        <v>8</v>
      </c>
      <c r="C3" s="7">
        <v>46774.0</v>
      </c>
      <c r="D3" s="7">
        <f t="shared" si="2"/>
        <v>28064.4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29516.0</v>
      </c>
      <c r="D5" s="7">
        <f t="shared" si="2"/>
        <v>17709.6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11</v>
      </c>
      <c r="C6" s="7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16</v>
      </c>
      <c r="C9" s="7">
        <v>16500.0</v>
      </c>
      <c r="D9" s="7">
        <f t="shared" si="2"/>
        <v>9900</v>
      </c>
      <c r="E9" s="7">
        <f t="shared" ref="E9:F9" si="11">if($D9&lt;15000,$D9*12/100,15000*12/100)</f>
        <v>1188</v>
      </c>
      <c r="F9" s="7">
        <f t="shared" si="11"/>
        <v>1188</v>
      </c>
      <c r="G9" s="7">
        <f t="shared" si="4"/>
        <v>2376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18</v>
      </c>
      <c r="C11" s="7">
        <v>18000.0</v>
      </c>
      <c r="D11" s="7">
        <f t="shared" si="2"/>
        <v>10800</v>
      </c>
      <c r="E11" s="7">
        <f t="shared" ref="E11:F11" si="13">if($D11&lt;15000,$D11*12/100,15000*12/100)</f>
        <v>1296</v>
      </c>
      <c r="F11" s="7">
        <f t="shared" si="13"/>
        <v>1296</v>
      </c>
      <c r="G11" s="7">
        <f t="shared" si="4"/>
        <v>2592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19</v>
      </c>
      <c r="C12" s="7">
        <v>17000.0</v>
      </c>
      <c r="D12" s="7">
        <f t="shared" si="2"/>
        <v>10200</v>
      </c>
      <c r="E12" s="7">
        <f t="shared" ref="E12:F12" si="14">if($D12&lt;15000,$D12*12/100,15000*12/100)</f>
        <v>1224</v>
      </c>
      <c r="F12" s="7">
        <f t="shared" si="14"/>
        <v>1224</v>
      </c>
      <c r="G12" s="7">
        <f t="shared" si="4"/>
        <v>2448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20</v>
      </c>
      <c r="C13" s="7">
        <v>25000.0</v>
      </c>
      <c r="D13" s="7">
        <f t="shared" si="2"/>
        <v>15000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21</v>
      </c>
      <c r="C14" s="7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22</v>
      </c>
      <c r="C15" s="7">
        <v>30000.0</v>
      </c>
      <c r="D15" s="7">
        <f t="shared" si="2"/>
        <v>18000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23</v>
      </c>
      <c r="C16" s="7">
        <v>18000.0</v>
      </c>
      <c r="D16" s="7">
        <f t="shared" si="2"/>
        <v>10800</v>
      </c>
      <c r="E16" s="7">
        <f t="shared" ref="E16:F16" si="18">if($D16&lt;15000,$D16*12/100,15000*12/100)</f>
        <v>1296</v>
      </c>
      <c r="F16" s="7">
        <f t="shared" si="18"/>
        <v>1296</v>
      </c>
      <c r="G16" s="7">
        <f t="shared" si="4"/>
        <v>2592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24</v>
      </c>
      <c r="C17" s="7">
        <v>24194.0</v>
      </c>
      <c r="D17" s="7">
        <f t="shared" si="2"/>
        <v>14516.4</v>
      </c>
      <c r="E17" s="7">
        <f t="shared" ref="E17:F17" si="19">if($D17&lt;15000,$D17*12/100,15000*12/100)</f>
        <v>1741.968</v>
      </c>
      <c r="F17" s="7">
        <f t="shared" si="19"/>
        <v>1741.968</v>
      </c>
      <c r="G17" s="7">
        <f t="shared" si="4"/>
        <v>3483.936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35</v>
      </c>
      <c r="C18" s="7">
        <v>4839.0</v>
      </c>
      <c r="D18" s="7">
        <f t="shared" si="2"/>
        <v>2903.4</v>
      </c>
      <c r="E18" s="7">
        <f t="shared" ref="E18:F18" si="20">if($D18&lt;15000,$D18*12/100,15000*12/100)</f>
        <v>348.408</v>
      </c>
      <c r="F18" s="7">
        <f t="shared" si="20"/>
        <v>348.408</v>
      </c>
      <c r="G18" s="7">
        <f t="shared" si="4"/>
        <v>696.816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26</v>
      </c>
      <c r="C19" s="7">
        <v>27000.0</v>
      </c>
      <c r="D19" s="7">
        <f t="shared" si="2"/>
        <v>16200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28</v>
      </c>
      <c r="C20" s="7">
        <v>13000.0</v>
      </c>
      <c r="D20" s="7">
        <f t="shared" si="2"/>
        <v>7800</v>
      </c>
      <c r="E20" s="7">
        <f t="shared" ref="E20:F20" si="22">if($D20&lt;15000,$D20*12/100,15000*12/100)</f>
        <v>936</v>
      </c>
      <c r="F20" s="7">
        <f t="shared" si="22"/>
        <v>936</v>
      </c>
      <c r="G20" s="7">
        <f t="shared" si="4"/>
        <v>1872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36</v>
      </c>
      <c r="C21" s="7">
        <v>22000.0</v>
      </c>
      <c r="D21" s="7">
        <f t="shared" si="2"/>
        <v>13200</v>
      </c>
      <c r="E21" s="7">
        <f t="shared" ref="E21:F21" si="23">if($D21&lt;15000,$D21*12/100,15000*12/100)</f>
        <v>1584</v>
      </c>
      <c r="F21" s="7">
        <f t="shared" si="23"/>
        <v>1584</v>
      </c>
      <c r="G21" s="7">
        <f t="shared" si="4"/>
        <v>3168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37</v>
      </c>
      <c r="C22" s="7">
        <v>9839.0</v>
      </c>
      <c r="D22" s="7">
        <f t="shared" si="2"/>
        <v>5903.4</v>
      </c>
      <c r="E22" s="7">
        <f t="shared" ref="E22:F22" si="24">if($D22&lt;15000,$D22*12/100,15000*12/100)</f>
        <v>708.408</v>
      </c>
      <c r="F22" s="7">
        <f t="shared" si="24"/>
        <v>708.408</v>
      </c>
      <c r="G22" s="7">
        <f t="shared" si="4"/>
        <v>1416.816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38</v>
      </c>
      <c r="C23" s="7">
        <v>20581.0</v>
      </c>
      <c r="D23" s="7">
        <f t="shared" si="2"/>
        <v>12348.6</v>
      </c>
      <c r="E23" s="7">
        <f t="shared" ref="E23:F23" si="25">if($D23&lt;15000,$D23*12/100,15000*12/100)</f>
        <v>1481.832</v>
      </c>
      <c r="F23" s="7">
        <f t="shared" si="25"/>
        <v>1481.832</v>
      </c>
      <c r="G23" s="7">
        <f t="shared" si="4"/>
        <v>2963.664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39</v>
      </c>
      <c r="C24" s="7">
        <v>22000.0</v>
      </c>
      <c r="D24" s="7">
        <f t="shared" si="2"/>
        <v>13200</v>
      </c>
      <c r="E24" s="7">
        <f t="shared" ref="E24:F24" si="26">if($D24&lt;15000,$D24*12/100,15000*12/100)</f>
        <v>1584</v>
      </c>
      <c r="F24" s="7">
        <f t="shared" si="26"/>
        <v>1584</v>
      </c>
      <c r="G24" s="7">
        <f t="shared" si="4"/>
        <v>3168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42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43</v>
      </c>
      <c r="C26" s="7">
        <v>12000.0</v>
      </c>
      <c r="D26" s="7">
        <f t="shared" si="2"/>
        <v>7200</v>
      </c>
      <c r="E26" s="7">
        <f t="shared" ref="E26:F26" si="28">if($D26&lt;15000,$D26*12/100,15000*12/100)</f>
        <v>864</v>
      </c>
      <c r="F26" s="7">
        <f t="shared" si="28"/>
        <v>864</v>
      </c>
      <c r="G26" s="7">
        <f t="shared" si="4"/>
        <v>1728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44</v>
      </c>
      <c r="C27" s="7">
        <v>8000.0</v>
      </c>
      <c r="D27" s="7">
        <f t="shared" si="2"/>
        <v>4800</v>
      </c>
      <c r="E27" s="7">
        <f t="shared" ref="E27:F27" si="29">if($D27&lt;15000,$D27*12/100,15000*12/100)</f>
        <v>576</v>
      </c>
      <c r="F27" s="7">
        <f t="shared" si="29"/>
        <v>576</v>
      </c>
      <c r="G27" s="7">
        <f t="shared" si="4"/>
        <v>1152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47</v>
      </c>
      <c r="C28" s="7">
        <v>15629.0</v>
      </c>
      <c r="D28" s="7">
        <f t="shared" si="2"/>
        <v>9377.4</v>
      </c>
      <c r="E28" s="7">
        <f t="shared" ref="E28:F28" si="30">if($D28&lt;15000,$D28*12/100,15000*12/100)</f>
        <v>1125.288</v>
      </c>
      <c r="F28" s="7">
        <f t="shared" si="30"/>
        <v>1125.288</v>
      </c>
      <c r="G28" s="7">
        <f t="shared" si="4"/>
        <v>2250.576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48</v>
      </c>
      <c r="C29" s="7">
        <v>11419.0</v>
      </c>
      <c r="D29" s="7">
        <f t="shared" si="2"/>
        <v>6851.4</v>
      </c>
      <c r="E29" s="7">
        <f t="shared" ref="E29:F29" si="31">if($D29&lt;15000,$D29*12/100,15000*12/100)</f>
        <v>822.168</v>
      </c>
      <c r="F29" s="7">
        <f t="shared" si="31"/>
        <v>822.168</v>
      </c>
      <c r="G29" s="7">
        <f t="shared" si="4"/>
        <v>1644.336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49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51</v>
      </c>
      <c r="C31" s="7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56</v>
      </c>
      <c r="C32" s="7">
        <v>18500.0</v>
      </c>
      <c r="D32" s="7">
        <f t="shared" si="2"/>
        <v>11100</v>
      </c>
      <c r="E32" s="7">
        <f t="shared" ref="E32:F32" si="34">if($D32&lt;15000,$D32*12/100,15000*12/100)</f>
        <v>1332</v>
      </c>
      <c r="F32" s="7">
        <f t="shared" si="34"/>
        <v>1332</v>
      </c>
      <c r="G32" s="7">
        <f t="shared" si="4"/>
        <v>2664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57</v>
      </c>
      <c r="C33" s="7">
        <v>5000.0</v>
      </c>
      <c r="D33" s="7">
        <f t="shared" si="2"/>
        <v>3000</v>
      </c>
      <c r="E33" s="7">
        <f t="shared" ref="E33:F33" si="35">if($D33&lt;15000,$D33*12/100,15000*12/100)</f>
        <v>360</v>
      </c>
      <c r="F33" s="7">
        <f t="shared" si="35"/>
        <v>360</v>
      </c>
      <c r="G33" s="7">
        <f t="shared" si="4"/>
        <v>720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30</v>
      </c>
      <c r="C34" s="7">
        <v>14000.0</v>
      </c>
      <c r="D34" s="7">
        <f t="shared" si="2"/>
        <v>8400</v>
      </c>
      <c r="E34" s="7">
        <f t="shared" ref="E34:F34" si="36">if($D34&lt;15000,$D34*12/100,15000*12/100)</f>
        <v>1008</v>
      </c>
      <c r="F34" s="7">
        <f t="shared" si="36"/>
        <v>1008</v>
      </c>
      <c r="G34" s="7">
        <f t="shared" si="4"/>
        <v>2016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31</v>
      </c>
      <c r="C35" s="7">
        <v>18000.0</v>
      </c>
      <c r="D35" s="7">
        <f t="shared" si="2"/>
        <v>10800</v>
      </c>
      <c r="E35" s="7">
        <f t="shared" ref="E35:F35" si="37">if($D35&lt;15000,$D35*12/100,15000*12/100)</f>
        <v>1296</v>
      </c>
      <c r="F35" s="7">
        <f t="shared" si="37"/>
        <v>1296</v>
      </c>
      <c r="G35" s="7">
        <f t="shared" si="4"/>
        <v>2592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32</v>
      </c>
      <c r="C36" s="7">
        <v>16000.0</v>
      </c>
      <c r="D36" s="7">
        <f t="shared" si="2"/>
        <v>9600</v>
      </c>
      <c r="E36" s="7">
        <f t="shared" ref="E36:F36" si="38">if($D36&lt;15000,$D36*12/100,15000*12/100)</f>
        <v>1152</v>
      </c>
      <c r="F36" s="7">
        <f t="shared" si="38"/>
        <v>1152</v>
      </c>
      <c r="G36" s="7">
        <f t="shared" si="4"/>
        <v>2304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53</v>
      </c>
      <c r="C37" s="7">
        <v>17000.0</v>
      </c>
      <c r="D37" s="7">
        <f t="shared" si="2"/>
        <v>10200</v>
      </c>
      <c r="E37" s="7">
        <f t="shared" ref="E37:F37" si="39">if($D37&lt;15000,$D37*12/100,15000*12/100)</f>
        <v>1224</v>
      </c>
      <c r="F37" s="7">
        <f t="shared" si="39"/>
        <v>1224</v>
      </c>
      <c r="G37" s="7">
        <f t="shared" si="4"/>
        <v>2448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54</v>
      </c>
      <c r="C38" s="7">
        <v>15355.0</v>
      </c>
      <c r="D38" s="7">
        <f t="shared" si="2"/>
        <v>9213</v>
      </c>
      <c r="E38" s="7">
        <f t="shared" ref="E38:F38" si="40">if($D38&lt;15000,$D38*12/100,15000*12/100)</f>
        <v>1105.56</v>
      </c>
      <c r="F38" s="7">
        <f t="shared" si="40"/>
        <v>1105.56</v>
      </c>
      <c r="G38" s="7">
        <f t="shared" si="4"/>
        <v>2211.12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55</v>
      </c>
      <c r="C39" s="7">
        <v>10331.0</v>
      </c>
      <c r="D39" s="7">
        <f t="shared" si="2"/>
        <v>6198.6</v>
      </c>
      <c r="E39" s="7">
        <f t="shared" ref="E39:F39" si="41">if($D39&lt;15000,$D39*12/100,15000*12/100)</f>
        <v>743.832</v>
      </c>
      <c r="F39" s="7">
        <f t="shared" si="41"/>
        <v>743.832</v>
      </c>
      <c r="G39" s="7">
        <f t="shared" si="4"/>
        <v>1487.664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34</v>
      </c>
      <c r="B40" s="10"/>
      <c r="C40" s="11">
        <f t="shared" ref="C40:G40" si="42">sum(C2:C39)</f>
        <v>763477</v>
      </c>
      <c r="D40" s="11">
        <f t="shared" si="42"/>
        <v>458086.2</v>
      </c>
      <c r="E40" s="11">
        <f t="shared" si="42"/>
        <v>49117.464</v>
      </c>
      <c r="F40" s="11">
        <f t="shared" si="42"/>
        <v>49117.464</v>
      </c>
      <c r="G40" s="11">
        <f t="shared" si="42"/>
        <v>98234.928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13"/>
      <c r="D41" s="13"/>
      <c r="E41" s="13"/>
      <c r="F41" s="13"/>
      <c r="G41" s="1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13"/>
      <c r="D42" s="13"/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13"/>
      <c r="D43" s="13"/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13"/>
      <c r="D44" s="13"/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13"/>
      <c r="D45" s="13"/>
      <c r="E45" s="13"/>
      <c r="F45" s="13"/>
      <c r="G45" s="1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13"/>
      <c r="D46" s="13"/>
      <c r="E46" s="13"/>
      <c r="F46" s="13"/>
      <c r="G46" s="1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40:B40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5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5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5" si="5">A2+1</f>
        <v>2</v>
      </c>
      <c r="B3" s="17" t="s">
        <v>8</v>
      </c>
      <c r="C3" s="7">
        <v>46667.0</v>
      </c>
      <c r="D3" s="7">
        <f t="shared" si="2"/>
        <v>28000.2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11</v>
      </c>
      <c r="C6" s="7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16</v>
      </c>
      <c r="C9" s="7">
        <v>15950.0</v>
      </c>
      <c r="D9" s="7">
        <f t="shared" si="2"/>
        <v>9570</v>
      </c>
      <c r="E9" s="7">
        <f t="shared" ref="E9:F9" si="11">if($D9&lt;15000,$D9*12/100,15000*12/100)</f>
        <v>1148.4</v>
      </c>
      <c r="F9" s="7">
        <f t="shared" si="11"/>
        <v>1148.4</v>
      </c>
      <c r="G9" s="7">
        <f t="shared" si="4"/>
        <v>2296.8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18</v>
      </c>
      <c r="C11" s="7">
        <v>16800.0</v>
      </c>
      <c r="D11" s="7">
        <f t="shared" si="2"/>
        <v>10080</v>
      </c>
      <c r="E11" s="7">
        <f t="shared" ref="E11:F11" si="13">if($D11&lt;15000,$D11*12/100,15000*12/100)</f>
        <v>1209.6</v>
      </c>
      <c r="F11" s="7">
        <f t="shared" si="13"/>
        <v>1209.6</v>
      </c>
      <c r="G11" s="7">
        <f t="shared" si="4"/>
        <v>2419.2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19</v>
      </c>
      <c r="C12" s="7">
        <v>17000.0</v>
      </c>
      <c r="D12" s="7">
        <f t="shared" si="2"/>
        <v>10200</v>
      </c>
      <c r="E12" s="7">
        <f t="shared" ref="E12:F12" si="14">if($D12&lt;15000,$D12*12/100,15000*12/100)</f>
        <v>1224</v>
      </c>
      <c r="F12" s="7">
        <f t="shared" si="14"/>
        <v>1224</v>
      </c>
      <c r="G12" s="7">
        <f t="shared" si="4"/>
        <v>2448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20</v>
      </c>
      <c r="C13" s="7">
        <v>25000.0</v>
      </c>
      <c r="D13" s="7">
        <f t="shared" si="2"/>
        <v>15000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21</v>
      </c>
      <c r="C14" s="7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22</v>
      </c>
      <c r="C15" s="7">
        <v>30000.0</v>
      </c>
      <c r="D15" s="7">
        <f t="shared" si="2"/>
        <v>18000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23</v>
      </c>
      <c r="C16" s="7">
        <v>18000.0</v>
      </c>
      <c r="D16" s="7">
        <f t="shared" si="2"/>
        <v>10800</v>
      </c>
      <c r="E16" s="7">
        <f t="shared" ref="E16:F16" si="18">if($D16&lt;15000,$D16*12/100,15000*12/100)</f>
        <v>1296</v>
      </c>
      <c r="F16" s="7">
        <f t="shared" si="18"/>
        <v>1296</v>
      </c>
      <c r="G16" s="7">
        <f t="shared" si="4"/>
        <v>2592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24</v>
      </c>
      <c r="C17" s="7">
        <v>25000.0</v>
      </c>
      <c r="D17" s="7">
        <f t="shared" si="2"/>
        <v>15000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35</v>
      </c>
      <c r="C18" s="7">
        <v>5000.0</v>
      </c>
      <c r="D18" s="7">
        <f t="shared" si="2"/>
        <v>3000</v>
      </c>
      <c r="E18" s="7">
        <f t="shared" ref="E18:F18" si="20">if($D18&lt;15000,$D18*12/100,15000*12/100)</f>
        <v>360</v>
      </c>
      <c r="F18" s="7">
        <f t="shared" si="20"/>
        <v>360</v>
      </c>
      <c r="G18" s="7">
        <f t="shared" si="4"/>
        <v>720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26</v>
      </c>
      <c r="C19" s="7">
        <v>27000.0</v>
      </c>
      <c r="D19" s="7">
        <f t="shared" si="2"/>
        <v>16200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28</v>
      </c>
      <c r="C20" s="7">
        <v>13000.0</v>
      </c>
      <c r="D20" s="7">
        <f t="shared" si="2"/>
        <v>7800</v>
      </c>
      <c r="E20" s="7">
        <f t="shared" ref="E20:F20" si="22">if($D20&lt;15000,$D20*12/100,15000*12/100)</f>
        <v>936</v>
      </c>
      <c r="F20" s="7">
        <f t="shared" si="22"/>
        <v>936</v>
      </c>
      <c r="G20" s="7">
        <f t="shared" si="4"/>
        <v>1872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36</v>
      </c>
      <c r="C21" s="7">
        <v>20900.0</v>
      </c>
      <c r="D21" s="7">
        <f t="shared" si="2"/>
        <v>12540</v>
      </c>
      <c r="E21" s="7">
        <f t="shared" ref="E21:F21" si="23">if($D21&lt;15000,$D21*12/100,15000*12/100)</f>
        <v>1504.8</v>
      </c>
      <c r="F21" s="7">
        <f t="shared" si="23"/>
        <v>1504.8</v>
      </c>
      <c r="G21" s="7">
        <f t="shared" si="4"/>
        <v>3009.6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37</v>
      </c>
      <c r="C22" s="7">
        <v>10000.0</v>
      </c>
      <c r="D22" s="7">
        <f t="shared" si="2"/>
        <v>6000</v>
      </c>
      <c r="E22" s="7">
        <f t="shared" ref="E22:F22" si="24">if($D22&lt;15000,$D22*12/100,15000*12/100)</f>
        <v>720</v>
      </c>
      <c r="F22" s="7">
        <f t="shared" si="24"/>
        <v>720</v>
      </c>
      <c r="G22" s="7">
        <f t="shared" si="4"/>
        <v>1440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38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39</v>
      </c>
      <c r="C24" s="7">
        <v>22000.0</v>
      </c>
      <c r="D24" s="7">
        <f t="shared" si="2"/>
        <v>13200</v>
      </c>
      <c r="E24" s="7">
        <f t="shared" ref="E24:F24" si="26">if($D24&lt;15000,$D24*12/100,15000*12/100)</f>
        <v>1584</v>
      </c>
      <c r="F24" s="7">
        <f t="shared" si="26"/>
        <v>1584</v>
      </c>
      <c r="G24" s="7">
        <f t="shared" si="4"/>
        <v>3168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42</v>
      </c>
      <c r="C25" s="7">
        <v>11000.0</v>
      </c>
      <c r="D25" s="7">
        <f t="shared" si="2"/>
        <v>6600</v>
      </c>
      <c r="E25" s="7">
        <f t="shared" ref="E25:F25" si="27">if($D25&lt;15000,$D25*12/100,15000*12/100)</f>
        <v>792</v>
      </c>
      <c r="F25" s="7">
        <f t="shared" si="27"/>
        <v>792</v>
      </c>
      <c r="G25" s="7">
        <f t="shared" si="4"/>
        <v>1584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43</v>
      </c>
      <c r="C26" s="7">
        <v>12000.0</v>
      </c>
      <c r="D26" s="7">
        <f t="shared" si="2"/>
        <v>7200</v>
      </c>
      <c r="E26" s="7">
        <f t="shared" ref="E26:F26" si="28">if($D26&lt;15000,$D26*12/100,15000*12/100)</f>
        <v>864</v>
      </c>
      <c r="F26" s="7">
        <f t="shared" si="28"/>
        <v>864</v>
      </c>
      <c r="G26" s="7">
        <f t="shared" si="4"/>
        <v>1728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44</v>
      </c>
      <c r="C27" s="7">
        <v>8000.0</v>
      </c>
      <c r="D27" s="7">
        <f t="shared" si="2"/>
        <v>4800</v>
      </c>
      <c r="E27" s="7">
        <f t="shared" ref="E27:F27" si="29">if($D27&lt;15000,$D27*12/100,15000*12/100)</f>
        <v>576</v>
      </c>
      <c r="F27" s="7">
        <f t="shared" si="29"/>
        <v>576</v>
      </c>
      <c r="G27" s="7">
        <f t="shared" si="4"/>
        <v>1152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47</v>
      </c>
      <c r="C28" s="7">
        <v>16433.0</v>
      </c>
      <c r="D28" s="7">
        <f t="shared" si="2"/>
        <v>9859.8</v>
      </c>
      <c r="E28" s="7">
        <f t="shared" ref="E28:F28" si="30">if($D28&lt;15000,$D28*12/100,15000*12/100)</f>
        <v>1183.176</v>
      </c>
      <c r="F28" s="7">
        <f t="shared" si="30"/>
        <v>1183.176</v>
      </c>
      <c r="G28" s="7">
        <f t="shared" si="4"/>
        <v>2366.352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48</v>
      </c>
      <c r="C29" s="7">
        <v>12000.0</v>
      </c>
      <c r="D29" s="7">
        <f t="shared" si="2"/>
        <v>7200</v>
      </c>
      <c r="E29" s="7">
        <f t="shared" ref="E29:F29" si="31">if($D29&lt;15000,$D29*12/100,15000*12/100)</f>
        <v>864</v>
      </c>
      <c r="F29" s="7">
        <f t="shared" si="31"/>
        <v>864</v>
      </c>
      <c r="G29" s="7">
        <f t="shared" si="4"/>
        <v>1728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49</v>
      </c>
      <c r="C30" s="7">
        <v>14500.0</v>
      </c>
      <c r="D30" s="7">
        <f t="shared" si="2"/>
        <v>8700</v>
      </c>
      <c r="E30" s="7">
        <f t="shared" ref="E30:F30" si="32">if($D30&lt;15000,$D30*12/100,15000*12/100)</f>
        <v>1044</v>
      </c>
      <c r="F30" s="7">
        <f t="shared" si="32"/>
        <v>1044</v>
      </c>
      <c r="G30" s="7">
        <f t="shared" si="4"/>
        <v>2088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51</v>
      </c>
      <c r="C31" s="7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56</v>
      </c>
      <c r="C32" s="7">
        <v>18500.0</v>
      </c>
      <c r="D32" s="7">
        <f t="shared" si="2"/>
        <v>11100</v>
      </c>
      <c r="E32" s="7">
        <f t="shared" ref="E32:F32" si="34">if($D32&lt;15000,$D32*12/100,15000*12/100)</f>
        <v>1332</v>
      </c>
      <c r="F32" s="7">
        <f t="shared" si="34"/>
        <v>1332</v>
      </c>
      <c r="G32" s="7">
        <f t="shared" si="4"/>
        <v>2664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57</v>
      </c>
      <c r="C33" s="7">
        <v>5000.0</v>
      </c>
      <c r="D33" s="7">
        <f t="shared" si="2"/>
        <v>3000</v>
      </c>
      <c r="E33" s="7">
        <f t="shared" ref="E33:F33" si="35">if($D33&lt;15000,$D33*12/100,15000*12/100)</f>
        <v>360</v>
      </c>
      <c r="F33" s="7">
        <f t="shared" si="35"/>
        <v>360</v>
      </c>
      <c r="G33" s="7">
        <f t="shared" si="4"/>
        <v>720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58</v>
      </c>
      <c r="C34" s="7">
        <v>18667.0</v>
      </c>
      <c r="D34" s="7">
        <f t="shared" si="2"/>
        <v>11200.2</v>
      </c>
      <c r="E34" s="7">
        <f t="shared" ref="E34:F34" si="36">if($D34&lt;15000,$D34*12/100,15000*12/100)</f>
        <v>1344.024</v>
      </c>
      <c r="F34" s="7">
        <f t="shared" si="36"/>
        <v>1344.024</v>
      </c>
      <c r="G34" s="7">
        <f t="shared" si="4"/>
        <v>2688.048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59</v>
      </c>
      <c r="C35" s="7">
        <v>14000.0</v>
      </c>
      <c r="D35" s="7">
        <f t="shared" si="2"/>
        <v>8400</v>
      </c>
      <c r="E35" s="7">
        <f t="shared" ref="E35:F35" si="37">if($D35&lt;15000,$D35*12/100,15000*12/100)</f>
        <v>1008</v>
      </c>
      <c r="F35" s="7">
        <f t="shared" si="37"/>
        <v>1008</v>
      </c>
      <c r="G35" s="7">
        <f t="shared" si="4"/>
        <v>2016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60</v>
      </c>
      <c r="C36" s="7">
        <v>4500.0</v>
      </c>
      <c r="D36" s="7">
        <f t="shared" si="2"/>
        <v>2700</v>
      </c>
      <c r="E36" s="7">
        <f t="shared" ref="E36:F36" si="38">if($D36&lt;15000,$D36*12/100,15000*12/100)</f>
        <v>324</v>
      </c>
      <c r="F36" s="7">
        <f t="shared" si="38"/>
        <v>324</v>
      </c>
      <c r="G36" s="7">
        <f t="shared" si="4"/>
        <v>648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30</v>
      </c>
      <c r="C37" s="7">
        <v>14000.0</v>
      </c>
      <c r="D37" s="7">
        <f t="shared" si="2"/>
        <v>8400</v>
      </c>
      <c r="E37" s="7">
        <f t="shared" ref="E37:F37" si="39">if($D37&lt;15000,$D37*12/100,15000*12/100)</f>
        <v>1008</v>
      </c>
      <c r="F37" s="7">
        <f t="shared" si="39"/>
        <v>1008</v>
      </c>
      <c r="G37" s="7">
        <f t="shared" si="4"/>
        <v>2016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31</v>
      </c>
      <c r="C38" s="7">
        <v>18000.0</v>
      </c>
      <c r="D38" s="7">
        <f t="shared" si="2"/>
        <v>10800</v>
      </c>
      <c r="E38" s="7">
        <f t="shared" ref="E38:F38" si="40">if($D38&lt;15000,$D38*12/100,15000*12/100)</f>
        <v>1296</v>
      </c>
      <c r="F38" s="7">
        <f t="shared" si="40"/>
        <v>1296</v>
      </c>
      <c r="G38" s="7">
        <f t="shared" si="4"/>
        <v>2592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32</v>
      </c>
      <c r="C39" s="7">
        <v>20000.0</v>
      </c>
      <c r="D39" s="7">
        <f t="shared" si="2"/>
        <v>12000</v>
      </c>
      <c r="E39" s="7">
        <f t="shared" ref="E39:F39" si="41">if($D39&lt;15000,$D39*12/100,15000*12/100)</f>
        <v>1440</v>
      </c>
      <c r="F39" s="7">
        <f t="shared" si="41"/>
        <v>1440</v>
      </c>
      <c r="G39" s="7">
        <f t="shared" si="4"/>
        <v>2880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53</v>
      </c>
      <c r="C40" s="7">
        <v>17000.0</v>
      </c>
      <c r="D40" s="7">
        <f t="shared" si="2"/>
        <v>10200</v>
      </c>
      <c r="E40" s="7">
        <f t="shared" ref="E40:F40" si="42">if($D40&lt;15000,$D40*12/100,15000*12/100)</f>
        <v>1224</v>
      </c>
      <c r="F40" s="7">
        <f t="shared" si="42"/>
        <v>1224</v>
      </c>
      <c r="G40" s="7">
        <f t="shared" si="4"/>
        <v>2448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54</v>
      </c>
      <c r="C41" s="7">
        <v>10767.0</v>
      </c>
      <c r="D41" s="7">
        <f t="shared" si="2"/>
        <v>6460.2</v>
      </c>
      <c r="E41" s="7">
        <f t="shared" ref="E41:F41" si="43">if($D41&lt;15000,$D41*12/100,15000*12/100)</f>
        <v>775.224</v>
      </c>
      <c r="F41" s="7">
        <f t="shared" si="43"/>
        <v>775.224</v>
      </c>
      <c r="G41" s="7">
        <f t="shared" si="4"/>
        <v>1550.448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55</v>
      </c>
      <c r="C42" s="7">
        <v>9275.0</v>
      </c>
      <c r="D42" s="7">
        <f t="shared" si="2"/>
        <v>5565</v>
      </c>
      <c r="E42" s="7">
        <f t="shared" ref="E42:F42" si="44">if($D42&lt;15000,$D42*12/100,15000*12/100)</f>
        <v>667.8</v>
      </c>
      <c r="F42" s="7">
        <f t="shared" si="44"/>
        <v>667.8</v>
      </c>
      <c r="G42" s="7">
        <f t="shared" si="4"/>
        <v>1335.6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61</v>
      </c>
      <c r="C43" s="7">
        <v>27067.0</v>
      </c>
      <c r="D43" s="7">
        <f t="shared" si="2"/>
        <v>16240.2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f t="shared" si="5"/>
        <v>43</v>
      </c>
      <c r="B44" s="16" t="s">
        <v>62</v>
      </c>
      <c r="C44" s="7">
        <v>14500.0</v>
      </c>
      <c r="D44" s="7">
        <f t="shared" si="2"/>
        <v>8700</v>
      </c>
      <c r="E44" s="7">
        <f t="shared" ref="E44:F44" si="46">if($D44&lt;15000,$D44*12/100,15000*12/100)</f>
        <v>1044</v>
      </c>
      <c r="F44" s="7">
        <f t="shared" si="46"/>
        <v>1044</v>
      </c>
      <c r="G44" s="7">
        <f t="shared" si="4"/>
        <v>2088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f t="shared" si="5"/>
        <v>44</v>
      </c>
      <c r="B45" s="16" t="s">
        <v>63</v>
      </c>
      <c r="C45" s="7">
        <v>16867.0</v>
      </c>
      <c r="D45" s="7">
        <f t="shared" si="2"/>
        <v>10120.2</v>
      </c>
      <c r="E45" s="7">
        <f t="shared" ref="E45:F45" si="47">if($D45&lt;15000,$D45*12/100,15000*12/100)</f>
        <v>1214.424</v>
      </c>
      <c r="F45" s="7">
        <f t="shared" si="47"/>
        <v>1214.424</v>
      </c>
      <c r="G45" s="7">
        <f t="shared" si="4"/>
        <v>2428.848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34</v>
      </c>
      <c r="B46" s="10"/>
      <c r="C46" s="11">
        <f t="shared" ref="C46:G46" si="48">sum(C2:C45)</f>
        <v>857393</v>
      </c>
      <c r="D46" s="11">
        <f t="shared" si="48"/>
        <v>514435.8</v>
      </c>
      <c r="E46" s="11">
        <f t="shared" si="48"/>
        <v>55703.448</v>
      </c>
      <c r="F46" s="11">
        <f t="shared" si="48"/>
        <v>55703.448</v>
      </c>
      <c r="G46" s="11">
        <f t="shared" si="48"/>
        <v>111406.896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1">
    <mergeCell ref="A46:B46"/>
  </mergeCells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5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5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5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18710.0</v>
      </c>
      <c r="D4" s="7">
        <f t="shared" si="2"/>
        <v>11226</v>
      </c>
      <c r="E4" s="7">
        <f t="shared" ref="E4:F4" si="6">if($D4&lt;15000,$D4*12/100,15000*12/100)</f>
        <v>1347.12</v>
      </c>
      <c r="F4" s="7">
        <f t="shared" si="6"/>
        <v>1347.12</v>
      </c>
      <c r="G4" s="7">
        <f t="shared" si="4"/>
        <v>2694.24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11</v>
      </c>
      <c r="C6" s="7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12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13</v>
      </c>
      <c r="C8" s="7">
        <v>19355.0</v>
      </c>
      <c r="D8" s="7">
        <f t="shared" si="2"/>
        <v>11613</v>
      </c>
      <c r="E8" s="7">
        <f t="shared" ref="E8:F8" si="10">if($D8&lt;15000,$D8*12/100,15000*12/100)</f>
        <v>1393.56</v>
      </c>
      <c r="F8" s="7">
        <f t="shared" si="10"/>
        <v>1393.56</v>
      </c>
      <c r="G8" s="7">
        <f t="shared" si="4"/>
        <v>2787.12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16</v>
      </c>
      <c r="C9" s="7">
        <v>16500.0</v>
      </c>
      <c r="D9" s="7">
        <f t="shared" si="2"/>
        <v>9900</v>
      </c>
      <c r="E9" s="7">
        <f t="shared" ref="E9:F9" si="11">if($D9&lt;15000,$D9*12/100,15000*12/100)</f>
        <v>1188</v>
      </c>
      <c r="F9" s="7">
        <f t="shared" si="11"/>
        <v>1188</v>
      </c>
      <c r="G9" s="7">
        <f t="shared" si="4"/>
        <v>2376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18</v>
      </c>
      <c r="C11" s="7">
        <v>15097.0</v>
      </c>
      <c r="D11" s="7">
        <f t="shared" si="2"/>
        <v>9058.2</v>
      </c>
      <c r="E11" s="7">
        <f t="shared" ref="E11:F11" si="13">if($D11&lt;15000,$D11*12/100,15000*12/100)</f>
        <v>1086.984</v>
      </c>
      <c r="F11" s="7">
        <f t="shared" si="13"/>
        <v>1086.984</v>
      </c>
      <c r="G11" s="7">
        <f t="shared" si="4"/>
        <v>2173.968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19</v>
      </c>
      <c r="C12" s="7">
        <v>14258.0</v>
      </c>
      <c r="D12" s="7">
        <f t="shared" si="2"/>
        <v>8554.8</v>
      </c>
      <c r="E12" s="7">
        <f t="shared" ref="E12:F12" si="14">if($D12&lt;15000,$D12*12/100,15000*12/100)</f>
        <v>1026.576</v>
      </c>
      <c r="F12" s="7">
        <f t="shared" si="14"/>
        <v>1026.576</v>
      </c>
      <c r="G12" s="7">
        <f t="shared" si="4"/>
        <v>2053.152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20</v>
      </c>
      <c r="C13" s="7">
        <v>22581.0</v>
      </c>
      <c r="D13" s="7">
        <f t="shared" si="2"/>
        <v>13548.6</v>
      </c>
      <c r="E13" s="7">
        <f t="shared" ref="E13:F13" si="15">if($D13&lt;15000,$D13*12/100,15000*12/100)</f>
        <v>1625.832</v>
      </c>
      <c r="F13" s="7">
        <f t="shared" si="15"/>
        <v>1625.832</v>
      </c>
      <c r="G13" s="7">
        <f t="shared" si="4"/>
        <v>3251.664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21</v>
      </c>
      <c r="C14" s="7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22</v>
      </c>
      <c r="C15" s="7">
        <v>30000.0</v>
      </c>
      <c r="D15" s="7">
        <f t="shared" si="2"/>
        <v>18000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23</v>
      </c>
      <c r="C16" s="7">
        <v>18000.0</v>
      </c>
      <c r="D16" s="7">
        <f t="shared" si="2"/>
        <v>10800</v>
      </c>
      <c r="E16" s="7">
        <f t="shared" ref="E16:F16" si="18">if($D16&lt;15000,$D16*12/100,15000*12/100)</f>
        <v>1296</v>
      </c>
      <c r="F16" s="7">
        <f t="shared" si="18"/>
        <v>1296</v>
      </c>
      <c r="G16" s="7">
        <f t="shared" si="4"/>
        <v>2592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24</v>
      </c>
      <c r="C17" s="7">
        <v>24597.0</v>
      </c>
      <c r="D17" s="7">
        <f t="shared" si="2"/>
        <v>14758.2</v>
      </c>
      <c r="E17" s="7">
        <f t="shared" ref="E17:F17" si="19">if($D17&lt;15000,$D17*12/100,15000*12/100)</f>
        <v>1770.984</v>
      </c>
      <c r="F17" s="7">
        <f t="shared" si="19"/>
        <v>1770.984</v>
      </c>
      <c r="G17" s="7">
        <f t="shared" si="4"/>
        <v>3541.968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35</v>
      </c>
      <c r="C18" s="7">
        <v>5000.0</v>
      </c>
      <c r="D18" s="7">
        <f t="shared" si="2"/>
        <v>3000</v>
      </c>
      <c r="E18" s="7">
        <f t="shared" ref="E18:F18" si="20">if($D18&lt;15000,$D18*12/100,15000*12/100)</f>
        <v>360</v>
      </c>
      <c r="F18" s="7">
        <f t="shared" si="20"/>
        <v>360</v>
      </c>
      <c r="G18" s="7">
        <f t="shared" si="4"/>
        <v>720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26</v>
      </c>
      <c r="C19" s="7">
        <v>27000.0</v>
      </c>
      <c r="D19" s="7">
        <f t="shared" si="2"/>
        <v>16200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28</v>
      </c>
      <c r="C20" s="7">
        <v>12790.0</v>
      </c>
      <c r="D20" s="7">
        <f t="shared" si="2"/>
        <v>7674</v>
      </c>
      <c r="E20" s="7">
        <f t="shared" ref="E20:F20" si="22">if($D20&lt;15000,$D20*12/100,15000*12/100)</f>
        <v>920.88</v>
      </c>
      <c r="F20" s="7">
        <f t="shared" si="22"/>
        <v>920.88</v>
      </c>
      <c r="G20" s="7">
        <f t="shared" si="4"/>
        <v>1841.76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36</v>
      </c>
      <c r="C21" s="7">
        <v>22000.0</v>
      </c>
      <c r="D21" s="7">
        <f t="shared" si="2"/>
        <v>13200</v>
      </c>
      <c r="E21" s="7">
        <f t="shared" ref="E21:F21" si="23">if($D21&lt;15000,$D21*12/100,15000*12/100)</f>
        <v>1584</v>
      </c>
      <c r="F21" s="7">
        <f t="shared" si="23"/>
        <v>1584</v>
      </c>
      <c r="G21" s="7">
        <f t="shared" si="4"/>
        <v>3168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37</v>
      </c>
      <c r="C22" s="7">
        <v>10000.0</v>
      </c>
      <c r="D22" s="7">
        <f t="shared" si="2"/>
        <v>6000</v>
      </c>
      <c r="E22" s="7">
        <f t="shared" ref="E22:F22" si="24">if($D22&lt;15000,$D22*12/100,15000*12/100)</f>
        <v>720</v>
      </c>
      <c r="F22" s="7">
        <f t="shared" si="24"/>
        <v>720</v>
      </c>
      <c r="G22" s="7">
        <f t="shared" si="4"/>
        <v>1440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38</v>
      </c>
      <c r="C23" s="7">
        <v>19871.0</v>
      </c>
      <c r="D23" s="7">
        <f t="shared" si="2"/>
        <v>11922.6</v>
      </c>
      <c r="E23" s="7">
        <f t="shared" ref="E23:F23" si="25">if($D23&lt;15000,$D23*12/100,15000*12/100)</f>
        <v>1430.712</v>
      </c>
      <c r="F23" s="7">
        <f t="shared" si="25"/>
        <v>1430.712</v>
      </c>
      <c r="G23" s="7">
        <f t="shared" si="4"/>
        <v>2861.424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39</v>
      </c>
      <c r="C24" s="7">
        <v>22000.0</v>
      </c>
      <c r="D24" s="7">
        <f t="shared" si="2"/>
        <v>13200</v>
      </c>
      <c r="E24" s="7">
        <f t="shared" ref="E24:F24" si="26">if($D24&lt;15000,$D24*12/100,15000*12/100)</f>
        <v>1584</v>
      </c>
      <c r="F24" s="7">
        <f t="shared" si="26"/>
        <v>1584</v>
      </c>
      <c r="G24" s="7">
        <f t="shared" si="4"/>
        <v>3168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42</v>
      </c>
      <c r="C25" s="7">
        <v>10839.0</v>
      </c>
      <c r="D25" s="7">
        <f t="shared" si="2"/>
        <v>6503.4</v>
      </c>
      <c r="E25" s="7">
        <f t="shared" ref="E25:F25" si="27">if($D25&lt;15000,$D25*12/100,15000*12/100)</f>
        <v>780.408</v>
      </c>
      <c r="F25" s="7">
        <f t="shared" si="27"/>
        <v>780.408</v>
      </c>
      <c r="G25" s="7">
        <f t="shared" si="4"/>
        <v>1560.816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43</v>
      </c>
      <c r="C26" s="7">
        <v>12000.0</v>
      </c>
      <c r="D26" s="7">
        <f t="shared" si="2"/>
        <v>7200</v>
      </c>
      <c r="E26" s="7">
        <f t="shared" ref="E26:F26" si="28">if($D26&lt;15000,$D26*12/100,15000*12/100)</f>
        <v>864</v>
      </c>
      <c r="F26" s="7">
        <f t="shared" si="28"/>
        <v>864</v>
      </c>
      <c r="G26" s="7">
        <f t="shared" si="4"/>
        <v>1728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44</v>
      </c>
      <c r="C27" s="7">
        <v>8000.0</v>
      </c>
      <c r="D27" s="7">
        <f t="shared" si="2"/>
        <v>4800</v>
      </c>
      <c r="E27" s="7">
        <f t="shared" ref="E27:F27" si="29">if($D27&lt;15000,$D27*12/100,15000*12/100)</f>
        <v>576</v>
      </c>
      <c r="F27" s="7">
        <f t="shared" si="29"/>
        <v>576</v>
      </c>
      <c r="G27" s="7">
        <f t="shared" si="4"/>
        <v>1152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47</v>
      </c>
      <c r="C28" s="7">
        <v>15903.0</v>
      </c>
      <c r="D28" s="7">
        <f t="shared" si="2"/>
        <v>9541.8</v>
      </c>
      <c r="E28" s="7">
        <f t="shared" ref="E28:F28" si="30">if($D28&lt;15000,$D28*12/100,15000*12/100)</f>
        <v>1145.016</v>
      </c>
      <c r="F28" s="7">
        <f t="shared" si="30"/>
        <v>1145.016</v>
      </c>
      <c r="G28" s="7">
        <f t="shared" si="4"/>
        <v>2290.032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48</v>
      </c>
      <c r="C29" s="7">
        <v>10452.0</v>
      </c>
      <c r="D29" s="7">
        <f t="shared" si="2"/>
        <v>6271.2</v>
      </c>
      <c r="E29" s="7">
        <f t="shared" ref="E29:F29" si="31">if($D29&lt;15000,$D29*12/100,15000*12/100)</f>
        <v>752.544</v>
      </c>
      <c r="F29" s="7">
        <f t="shared" si="31"/>
        <v>752.544</v>
      </c>
      <c r="G29" s="7">
        <f t="shared" si="4"/>
        <v>1505.088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49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51</v>
      </c>
      <c r="C31" s="7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56</v>
      </c>
      <c r="C32" s="7">
        <v>17306.0</v>
      </c>
      <c r="D32" s="7">
        <f t="shared" si="2"/>
        <v>10383.6</v>
      </c>
      <c r="E32" s="7">
        <f t="shared" ref="E32:F32" si="34">if($D32&lt;15000,$D32*12/100,15000*12/100)</f>
        <v>1246.032</v>
      </c>
      <c r="F32" s="7">
        <f t="shared" si="34"/>
        <v>1246.032</v>
      </c>
      <c r="G32" s="7">
        <f t="shared" si="4"/>
        <v>2492.064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57</v>
      </c>
      <c r="C33" s="7">
        <v>4355.0</v>
      </c>
      <c r="D33" s="7">
        <f t="shared" si="2"/>
        <v>2613</v>
      </c>
      <c r="E33" s="7">
        <f t="shared" ref="E33:F33" si="35">if($D33&lt;15000,$D33*12/100,15000*12/100)</f>
        <v>313.56</v>
      </c>
      <c r="F33" s="7">
        <f t="shared" si="35"/>
        <v>313.56</v>
      </c>
      <c r="G33" s="7">
        <f t="shared" si="4"/>
        <v>627.12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58</v>
      </c>
      <c r="C34" s="7">
        <v>20000.0</v>
      </c>
      <c r="D34" s="7">
        <f t="shared" si="2"/>
        <v>12000</v>
      </c>
      <c r="E34" s="7">
        <f t="shared" ref="E34:F34" si="36">if($D34&lt;15000,$D34*12/100,15000*12/100)</f>
        <v>1440</v>
      </c>
      <c r="F34" s="7">
        <f t="shared" si="36"/>
        <v>1440</v>
      </c>
      <c r="G34" s="7">
        <f t="shared" si="4"/>
        <v>2880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59</v>
      </c>
      <c r="C35" s="7">
        <v>15000.0</v>
      </c>
      <c r="D35" s="7">
        <f t="shared" si="2"/>
        <v>9000</v>
      </c>
      <c r="E35" s="7">
        <f t="shared" ref="E35:F35" si="37">if($D35&lt;15000,$D35*12/100,15000*12/100)</f>
        <v>1080</v>
      </c>
      <c r="F35" s="7">
        <f t="shared" si="37"/>
        <v>1080</v>
      </c>
      <c r="G35" s="7">
        <f t="shared" si="4"/>
        <v>2160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60</v>
      </c>
      <c r="C36" s="7">
        <v>5613.0</v>
      </c>
      <c r="D36" s="7">
        <f t="shared" si="2"/>
        <v>3367.8</v>
      </c>
      <c r="E36" s="7">
        <f t="shared" ref="E36:F36" si="38">if($D36&lt;15000,$D36*12/100,15000*12/100)</f>
        <v>404.136</v>
      </c>
      <c r="F36" s="7">
        <f t="shared" si="38"/>
        <v>404.136</v>
      </c>
      <c r="G36" s="7">
        <f t="shared" si="4"/>
        <v>808.272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30</v>
      </c>
      <c r="C37" s="19">
        <v>13548.0</v>
      </c>
      <c r="D37" s="7">
        <f t="shared" si="2"/>
        <v>8128.8</v>
      </c>
      <c r="E37" s="7">
        <f t="shared" ref="E37:F37" si="39">if($D37&lt;15000,$D37*12/100,15000*12/100)</f>
        <v>975.456</v>
      </c>
      <c r="F37" s="7">
        <f t="shared" si="39"/>
        <v>975.456</v>
      </c>
      <c r="G37" s="7">
        <f t="shared" si="4"/>
        <v>1950.912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31</v>
      </c>
      <c r="C38" s="19">
        <v>18000.0</v>
      </c>
      <c r="D38" s="7">
        <f t="shared" si="2"/>
        <v>10800</v>
      </c>
      <c r="E38" s="7">
        <f t="shared" ref="E38:F38" si="40">if($D38&lt;15000,$D38*12/100,15000*12/100)</f>
        <v>1296</v>
      </c>
      <c r="F38" s="7">
        <f t="shared" si="40"/>
        <v>1296</v>
      </c>
      <c r="G38" s="7">
        <f t="shared" si="4"/>
        <v>2592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32</v>
      </c>
      <c r="C39" s="19">
        <v>20000.0</v>
      </c>
      <c r="D39" s="7">
        <f t="shared" si="2"/>
        <v>12000</v>
      </c>
      <c r="E39" s="7">
        <f t="shared" ref="E39:F39" si="41">if($D39&lt;15000,$D39*12/100,15000*12/100)</f>
        <v>1440</v>
      </c>
      <c r="F39" s="7">
        <f t="shared" si="41"/>
        <v>1440</v>
      </c>
      <c r="G39" s="7">
        <f t="shared" si="4"/>
        <v>2880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53</v>
      </c>
      <c r="C40" s="19">
        <v>17000.0</v>
      </c>
      <c r="D40" s="7">
        <f t="shared" si="2"/>
        <v>10200</v>
      </c>
      <c r="E40" s="7">
        <f t="shared" ref="E40:F40" si="42">if($D40&lt;15000,$D40*12/100,15000*12/100)</f>
        <v>1224</v>
      </c>
      <c r="F40" s="7">
        <f t="shared" si="42"/>
        <v>1224</v>
      </c>
      <c r="G40" s="7">
        <f t="shared" si="4"/>
        <v>2448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54</v>
      </c>
      <c r="C41" s="19">
        <v>17000.0</v>
      </c>
      <c r="D41" s="7">
        <f t="shared" si="2"/>
        <v>10200</v>
      </c>
      <c r="E41" s="7">
        <f t="shared" ref="E41:F41" si="43">if($D41&lt;15000,$D41*12/100,15000*12/100)</f>
        <v>1224</v>
      </c>
      <c r="F41" s="7">
        <f t="shared" si="43"/>
        <v>1224</v>
      </c>
      <c r="G41" s="7">
        <f t="shared" si="4"/>
        <v>2448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55</v>
      </c>
      <c r="C42" s="19">
        <v>9823.0</v>
      </c>
      <c r="D42" s="7">
        <f t="shared" si="2"/>
        <v>5893.8</v>
      </c>
      <c r="E42" s="7">
        <f t="shared" ref="E42:F42" si="44">if($D42&lt;15000,$D42*12/100,15000*12/100)</f>
        <v>707.256</v>
      </c>
      <c r="F42" s="7">
        <f t="shared" si="44"/>
        <v>707.256</v>
      </c>
      <c r="G42" s="7">
        <f t="shared" si="4"/>
        <v>1414.512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61</v>
      </c>
      <c r="C43" s="19">
        <v>28000.0</v>
      </c>
      <c r="D43" s="7">
        <f t="shared" si="2"/>
        <v>16800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f t="shared" si="5"/>
        <v>43</v>
      </c>
      <c r="B44" s="16" t="s">
        <v>62</v>
      </c>
      <c r="C44" s="19">
        <v>15000.0</v>
      </c>
      <c r="D44" s="7">
        <f t="shared" si="2"/>
        <v>9000</v>
      </c>
      <c r="E44" s="7">
        <f t="shared" ref="E44:F44" si="46">if($D44&lt;15000,$D44*12/100,15000*12/100)</f>
        <v>1080</v>
      </c>
      <c r="F44" s="7">
        <f t="shared" si="46"/>
        <v>1080</v>
      </c>
      <c r="G44" s="7">
        <f t="shared" si="4"/>
        <v>2160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f t="shared" si="5"/>
        <v>44</v>
      </c>
      <c r="B45" s="16" t="s">
        <v>63</v>
      </c>
      <c r="C45" s="19">
        <v>21516.0</v>
      </c>
      <c r="D45" s="7">
        <f t="shared" si="2"/>
        <v>12909.6</v>
      </c>
      <c r="E45" s="7">
        <f t="shared" ref="E45:F45" si="47">if($D45&lt;15000,$D45*12/100,15000*12/100)</f>
        <v>1549.152</v>
      </c>
      <c r="F45" s="7">
        <f t="shared" si="47"/>
        <v>1549.152</v>
      </c>
      <c r="G45" s="7">
        <f t="shared" si="4"/>
        <v>3098.304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34</v>
      </c>
      <c r="B46" s="10"/>
      <c r="C46" s="11">
        <f t="shared" ref="C46:G46" si="48">sum(C2:C45)</f>
        <v>863114</v>
      </c>
      <c r="D46" s="11">
        <f t="shared" si="48"/>
        <v>517868.4</v>
      </c>
      <c r="E46" s="11">
        <f t="shared" si="48"/>
        <v>55808.208</v>
      </c>
      <c r="F46" s="11">
        <f t="shared" si="48"/>
        <v>55808.208</v>
      </c>
      <c r="G46" s="11">
        <f t="shared" si="48"/>
        <v>111616.416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13"/>
      <c r="D47" s="13"/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13"/>
      <c r="D48" s="13"/>
      <c r="E48" s="13"/>
      <c r="F48" s="13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13"/>
      <c r="D49" s="13"/>
      <c r="E49" s="13"/>
      <c r="F49" s="13"/>
      <c r="G49" s="1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1">
    <mergeCell ref="A46:B46"/>
  </mergeCells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8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8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8" si="5">A2+1</f>
        <v>2</v>
      </c>
      <c r="B3" s="17" t="s">
        <v>8</v>
      </c>
      <c r="C3" s="7">
        <v>46774.0</v>
      </c>
      <c r="D3" s="7">
        <f t="shared" si="2"/>
        <v>28064.4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12</v>
      </c>
      <c r="C6" s="7">
        <v>25161.0</v>
      </c>
      <c r="D6" s="7">
        <f t="shared" si="2"/>
        <v>15096.6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13</v>
      </c>
      <c r="C7" s="7">
        <v>20000.0</v>
      </c>
      <c r="D7" s="7">
        <f t="shared" si="2"/>
        <v>12000</v>
      </c>
      <c r="E7" s="7">
        <f t="shared" ref="E7:F7" si="9">if($D7&lt;15000,$D7*12/100,15000*12/100)</f>
        <v>1440</v>
      </c>
      <c r="F7" s="7">
        <f t="shared" si="9"/>
        <v>1440</v>
      </c>
      <c r="G7" s="7">
        <f t="shared" si="4"/>
        <v>2880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16</v>
      </c>
      <c r="C8" s="7">
        <v>15435.0</v>
      </c>
      <c r="D8" s="7">
        <f t="shared" si="2"/>
        <v>9261</v>
      </c>
      <c r="E8" s="7">
        <f t="shared" ref="E8:F8" si="10">if($D8&lt;15000,$D8*12/100,15000*12/100)</f>
        <v>1111.32</v>
      </c>
      <c r="F8" s="7">
        <f t="shared" si="10"/>
        <v>1111.32</v>
      </c>
      <c r="G8" s="7">
        <f t="shared" si="4"/>
        <v>2222.64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18</v>
      </c>
      <c r="C10" s="7">
        <v>17129.0</v>
      </c>
      <c r="D10" s="7">
        <f t="shared" si="2"/>
        <v>10277.4</v>
      </c>
      <c r="E10" s="7">
        <f t="shared" ref="E10:F10" si="12">if($D10&lt;15000,$D10*12/100,15000*12/100)</f>
        <v>1233.288</v>
      </c>
      <c r="F10" s="7">
        <f t="shared" si="12"/>
        <v>1233.288</v>
      </c>
      <c r="G10" s="7">
        <f t="shared" si="4"/>
        <v>2466.576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19</v>
      </c>
      <c r="C11" s="7">
        <v>15629.0</v>
      </c>
      <c r="D11" s="7">
        <f t="shared" si="2"/>
        <v>9377.4</v>
      </c>
      <c r="E11" s="7">
        <f t="shared" ref="E11:F11" si="13">if($D11&lt;15000,$D11*12/100,15000*12/100)</f>
        <v>1125.288</v>
      </c>
      <c r="F11" s="7">
        <f t="shared" si="13"/>
        <v>1125.288</v>
      </c>
      <c r="G11" s="7">
        <f t="shared" si="4"/>
        <v>2250.576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20</v>
      </c>
      <c r="C12" s="7">
        <v>25000.0</v>
      </c>
      <c r="D12" s="7">
        <f t="shared" si="2"/>
        <v>15000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21</v>
      </c>
      <c r="C13" s="7">
        <v>27000.0</v>
      </c>
      <c r="D13" s="7">
        <f t="shared" si="2"/>
        <v>16200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23</v>
      </c>
      <c r="C15" s="7">
        <v>18000.0</v>
      </c>
      <c r="D15" s="7">
        <f t="shared" si="2"/>
        <v>10800</v>
      </c>
      <c r="E15" s="7">
        <f t="shared" ref="E15:F15" si="17">if($D15&lt;15000,$D15*12/100,15000*12/100)</f>
        <v>1296</v>
      </c>
      <c r="F15" s="7">
        <f t="shared" si="17"/>
        <v>1296</v>
      </c>
      <c r="G15" s="7">
        <f t="shared" si="4"/>
        <v>2592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35</v>
      </c>
      <c r="C17" s="7">
        <v>4758.0</v>
      </c>
      <c r="D17" s="7">
        <f t="shared" si="2"/>
        <v>2854.8</v>
      </c>
      <c r="E17" s="7">
        <f t="shared" ref="E17:F17" si="19">if($D17&lt;15000,$D17*12/100,15000*12/100)</f>
        <v>342.576</v>
      </c>
      <c r="F17" s="7">
        <f t="shared" si="19"/>
        <v>342.576</v>
      </c>
      <c r="G17" s="7">
        <f t="shared" si="4"/>
        <v>685.152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26</v>
      </c>
      <c r="C18" s="7">
        <v>27000.0</v>
      </c>
      <c r="D18" s="7">
        <f t="shared" si="2"/>
        <v>16200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28</v>
      </c>
      <c r="C19" s="7">
        <v>13000.0</v>
      </c>
      <c r="D19" s="7">
        <f t="shared" si="2"/>
        <v>7800</v>
      </c>
      <c r="E19" s="7">
        <f t="shared" ref="E19:F19" si="21">if($D19&lt;15000,$D19*12/100,15000*12/100)</f>
        <v>936</v>
      </c>
      <c r="F19" s="7">
        <f t="shared" si="21"/>
        <v>936</v>
      </c>
      <c r="G19" s="7">
        <f t="shared" si="4"/>
        <v>1872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37</v>
      </c>
      <c r="C21" s="7">
        <v>10000.0</v>
      </c>
      <c r="D21" s="7">
        <f t="shared" si="2"/>
        <v>6000</v>
      </c>
      <c r="E21" s="7">
        <f t="shared" ref="E21:F21" si="23">if($D21&lt;15000,$D21*12/100,15000*12/100)</f>
        <v>720</v>
      </c>
      <c r="F21" s="7">
        <f t="shared" si="23"/>
        <v>720</v>
      </c>
      <c r="G21" s="7">
        <f t="shared" si="4"/>
        <v>1440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38</v>
      </c>
      <c r="C22" s="7">
        <v>20935.0</v>
      </c>
      <c r="D22" s="7">
        <f t="shared" si="2"/>
        <v>12561</v>
      </c>
      <c r="E22" s="7">
        <f t="shared" ref="E22:F22" si="24">if($D22&lt;15000,$D22*12/100,15000*12/100)</f>
        <v>1507.32</v>
      </c>
      <c r="F22" s="7">
        <f t="shared" si="24"/>
        <v>1507.32</v>
      </c>
      <c r="G22" s="7">
        <f t="shared" si="4"/>
        <v>3014.64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39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42</v>
      </c>
      <c r="C24" s="7">
        <v>11613.0</v>
      </c>
      <c r="D24" s="7">
        <f t="shared" si="2"/>
        <v>6967.8</v>
      </c>
      <c r="E24" s="7">
        <f t="shared" ref="E24:F24" si="26">if($D24&lt;15000,$D24*12/100,15000*12/100)</f>
        <v>836.136</v>
      </c>
      <c r="F24" s="7">
        <f t="shared" si="26"/>
        <v>836.136</v>
      </c>
      <c r="G24" s="7">
        <f t="shared" si="4"/>
        <v>1672.272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43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44</v>
      </c>
      <c r="C26" s="7">
        <v>8000.0</v>
      </c>
      <c r="D26" s="7">
        <f t="shared" si="2"/>
        <v>4800</v>
      </c>
      <c r="E26" s="7">
        <f t="shared" ref="E26:F26" si="28">if($D26&lt;15000,$D26*12/100,15000*12/100)</f>
        <v>576</v>
      </c>
      <c r="F26" s="7">
        <f t="shared" si="28"/>
        <v>576</v>
      </c>
      <c r="G26" s="7">
        <f t="shared" si="4"/>
        <v>1152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47</v>
      </c>
      <c r="C27" s="7">
        <v>15355.0</v>
      </c>
      <c r="D27" s="7">
        <f t="shared" si="2"/>
        <v>9213</v>
      </c>
      <c r="E27" s="7">
        <f t="shared" ref="E27:F27" si="29">if($D27&lt;15000,$D27*12/100,15000*12/100)</f>
        <v>1105.56</v>
      </c>
      <c r="F27" s="7">
        <f t="shared" si="29"/>
        <v>1105.56</v>
      </c>
      <c r="G27" s="7">
        <f t="shared" si="4"/>
        <v>2211.12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48</v>
      </c>
      <c r="C28" s="7">
        <v>3097.0</v>
      </c>
      <c r="D28" s="7">
        <f t="shared" si="2"/>
        <v>1858.2</v>
      </c>
      <c r="E28" s="7">
        <f t="shared" ref="E28:F28" si="30">if($D28&lt;15000,$D28*12/100,15000*12/100)</f>
        <v>222.984</v>
      </c>
      <c r="F28" s="7">
        <f t="shared" si="30"/>
        <v>222.984</v>
      </c>
      <c r="G28" s="7">
        <f t="shared" si="4"/>
        <v>445.968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49</v>
      </c>
      <c r="C29" s="7">
        <v>15000.0</v>
      </c>
      <c r="D29" s="7">
        <f t="shared" si="2"/>
        <v>9000</v>
      </c>
      <c r="E29" s="7">
        <f t="shared" ref="E29:F29" si="31">if($D29&lt;15000,$D29*12/100,15000*12/100)</f>
        <v>1080</v>
      </c>
      <c r="F29" s="7">
        <f t="shared" si="31"/>
        <v>1080</v>
      </c>
      <c r="G29" s="7">
        <f t="shared" si="4"/>
        <v>2160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51</v>
      </c>
      <c r="C30" s="7">
        <v>22000.0</v>
      </c>
      <c r="D30" s="7">
        <f t="shared" si="2"/>
        <v>13200</v>
      </c>
      <c r="E30" s="7">
        <f t="shared" ref="E30:F30" si="32">if($D30&lt;15000,$D30*12/100,15000*12/100)</f>
        <v>1584</v>
      </c>
      <c r="F30" s="7">
        <f t="shared" si="32"/>
        <v>1584</v>
      </c>
      <c r="G30" s="7">
        <f t="shared" si="4"/>
        <v>3168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56</v>
      </c>
      <c r="C31" s="7">
        <v>18202.0</v>
      </c>
      <c r="D31" s="7">
        <f t="shared" si="2"/>
        <v>10921.2</v>
      </c>
      <c r="E31" s="7">
        <f t="shared" ref="E31:F31" si="33">if($D31&lt;15000,$D31*12/100,15000*12/100)</f>
        <v>1310.544</v>
      </c>
      <c r="F31" s="7">
        <f t="shared" si="33"/>
        <v>1310.544</v>
      </c>
      <c r="G31" s="7">
        <f t="shared" si="4"/>
        <v>2621.088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58</v>
      </c>
      <c r="C32" s="7">
        <v>20000.0</v>
      </c>
      <c r="D32" s="7">
        <f t="shared" si="2"/>
        <v>12000</v>
      </c>
      <c r="E32" s="7">
        <f t="shared" ref="E32:F32" si="34">if($D32&lt;15000,$D32*12/100,15000*12/100)</f>
        <v>1440</v>
      </c>
      <c r="F32" s="7">
        <f t="shared" si="34"/>
        <v>1440</v>
      </c>
      <c r="G32" s="7">
        <f t="shared" si="4"/>
        <v>2880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59</v>
      </c>
      <c r="C33" s="7">
        <v>15000.0</v>
      </c>
      <c r="D33" s="7">
        <f t="shared" si="2"/>
        <v>9000</v>
      </c>
      <c r="E33" s="7">
        <f t="shared" ref="E33:F33" si="35">if($D33&lt;15000,$D33*12/100,15000*12/100)</f>
        <v>1080</v>
      </c>
      <c r="F33" s="7">
        <f t="shared" si="35"/>
        <v>1080</v>
      </c>
      <c r="G33" s="7">
        <f t="shared" si="4"/>
        <v>2160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60</v>
      </c>
      <c r="C34" s="7">
        <v>2903.0</v>
      </c>
      <c r="D34" s="7">
        <f t="shared" si="2"/>
        <v>1741.8</v>
      </c>
      <c r="E34" s="7">
        <f t="shared" ref="E34:F34" si="36">if($D34&lt;15000,$D34*12/100,15000*12/100)</f>
        <v>209.016</v>
      </c>
      <c r="F34" s="7">
        <f t="shared" si="36"/>
        <v>209.016</v>
      </c>
      <c r="G34" s="7">
        <f t="shared" si="4"/>
        <v>418.032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64</v>
      </c>
      <c r="C35" s="7">
        <v>6581.0</v>
      </c>
      <c r="D35" s="7">
        <f t="shared" si="2"/>
        <v>3948.6</v>
      </c>
      <c r="E35" s="7">
        <f t="shared" ref="E35:F35" si="37">if($D35&lt;15000,$D35*12/100,15000*12/100)</f>
        <v>473.832</v>
      </c>
      <c r="F35" s="7">
        <f t="shared" si="37"/>
        <v>473.832</v>
      </c>
      <c r="G35" s="7">
        <f t="shared" si="4"/>
        <v>947.664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65</v>
      </c>
      <c r="C36" s="7">
        <v>6194.0</v>
      </c>
      <c r="D36" s="7">
        <f t="shared" si="2"/>
        <v>3716.4</v>
      </c>
      <c r="E36" s="7">
        <f t="shared" ref="E36:F36" si="38">if($D36&lt;15000,$D36*12/100,15000*12/100)</f>
        <v>445.968</v>
      </c>
      <c r="F36" s="7">
        <f t="shared" si="38"/>
        <v>445.968</v>
      </c>
      <c r="G36" s="7">
        <f t="shared" si="4"/>
        <v>891.936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66</v>
      </c>
      <c r="C37" s="19">
        <v>4129.0</v>
      </c>
      <c r="D37" s="7">
        <f t="shared" si="2"/>
        <v>2477.4</v>
      </c>
      <c r="E37" s="7">
        <f t="shared" ref="E37:F37" si="39">if($D37&lt;15000,$D37*12/100,15000*12/100)</f>
        <v>297.288</v>
      </c>
      <c r="F37" s="7">
        <f t="shared" si="39"/>
        <v>297.288</v>
      </c>
      <c r="G37" s="7">
        <f t="shared" si="4"/>
        <v>594.576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67</v>
      </c>
      <c r="C38" s="19">
        <v>1419.0</v>
      </c>
      <c r="D38" s="7">
        <f t="shared" si="2"/>
        <v>851.4</v>
      </c>
      <c r="E38" s="7">
        <f t="shared" ref="E38:F38" si="40">if($D38&lt;15000,$D38*12/100,15000*12/100)</f>
        <v>102.168</v>
      </c>
      <c r="F38" s="7">
        <f t="shared" si="40"/>
        <v>102.168</v>
      </c>
      <c r="G38" s="7">
        <f t="shared" si="4"/>
        <v>204.336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68</v>
      </c>
      <c r="C39" s="19">
        <v>2419.0</v>
      </c>
      <c r="D39" s="7">
        <f t="shared" si="2"/>
        <v>1451.4</v>
      </c>
      <c r="E39" s="7">
        <f t="shared" ref="E39:F39" si="41">if($D39&lt;15000,$D39*12/100,15000*12/100)</f>
        <v>174.168</v>
      </c>
      <c r="F39" s="7">
        <f t="shared" si="41"/>
        <v>174.168</v>
      </c>
      <c r="G39" s="7">
        <f t="shared" si="4"/>
        <v>348.336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30</v>
      </c>
      <c r="C40" s="19">
        <v>13774.0</v>
      </c>
      <c r="D40" s="7">
        <f t="shared" si="2"/>
        <v>8264.4</v>
      </c>
      <c r="E40" s="7">
        <f t="shared" ref="E40:F40" si="42">if($D40&lt;15000,$D40*12/100,15000*12/100)</f>
        <v>991.728</v>
      </c>
      <c r="F40" s="7">
        <f t="shared" si="42"/>
        <v>991.728</v>
      </c>
      <c r="G40" s="7">
        <f t="shared" si="4"/>
        <v>1983.456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31</v>
      </c>
      <c r="C41" s="19">
        <v>17129.0</v>
      </c>
      <c r="D41" s="7">
        <f t="shared" si="2"/>
        <v>10277.4</v>
      </c>
      <c r="E41" s="7">
        <f t="shared" ref="E41:F41" si="43">if($D41&lt;15000,$D41*12/100,15000*12/100)</f>
        <v>1233.288</v>
      </c>
      <c r="F41" s="7">
        <f t="shared" si="43"/>
        <v>1233.288</v>
      </c>
      <c r="G41" s="7">
        <f t="shared" si="4"/>
        <v>2466.576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32</v>
      </c>
      <c r="C42" s="19">
        <v>20000.0</v>
      </c>
      <c r="D42" s="7">
        <f t="shared" si="2"/>
        <v>12000</v>
      </c>
      <c r="E42" s="7">
        <f t="shared" ref="E42:F42" si="44">if($D42&lt;15000,$D42*12/100,15000*12/100)</f>
        <v>1440</v>
      </c>
      <c r="F42" s="7">
        <f t="shared" si="44"/>
        <v>1440</v>
      </c>
      <c r="G42" s="7">
        <f t="shared" si="4"/>
        <v>2880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53</v>
      </c>
      <c r="C43" s="19">
        <v>17000.0</v>
      </c>
      <c r="D43" s="7">
        <f t="shared" si="2"/>
        <v>10200</v>
      </c>
      <c r="E43" s="7">
        <f t="shared" ref="E43:F43" si="45">if($D43&lt;15000,$D43*12/100,15000*12/100)</f>
        <v>1224</v>
      </c>
      <c r="F43" s="7">
        <f t="shared" si="45"/>
        <v>1224</v>
      </c>
      <c r="G43" s="7">
        <f t="shared" si="4"/>
        <v>2448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f t="shared" si="5"/>
        <v>43</v>
      </c>
      <c r="B44" s="16" t="s">
        <v>54</v>
      </c>
      <c r="C44" s="19">
        <v>17000.0</v>
      </c>
      <c r="D44" s="7">
        <f t="shared" si="2"/>
        <v>10200</v>
      </c>
      <c r="E44" s="7">
        <f t="shared" ref="E44:F44" si="46">if($D44&lt;15000,$D44*12/100,15000*12/100)</f>
        <v>1224</v>
      </c>
      <c r="F44" s="7">
        <f t="shared" si="46"/>
        <v>1224</v>
      </c>
      <c r="G44" s="7">
        <f t="shared" si="4"/>
        <v>2448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f t="shared" si="5"/>
        <v>44</v>
      </c>
      <c r="B45" s="16" t="s">
        <v>55</v>
      </c>
      <c r="C45" s="19">
        <v>7960.0</v>
      </c>
      <c r="D45" s="7">
        <f t="shared" si="2"/>
        <v>4776</v>
      </c>
      <c r="E45" s="7">
        <f t="shared" ref="E45:F45" si="47">if($D45&lt;15000,$D45*12/100,15000*12/100)</f>
        <v>573.12</v>
      </c>
      <c r="F45" s="7">
        <f t="shared" si="47"/>
        <v>573.12</v>
      </c>
      <c r="G45" s="7">
        <f t="shared" si="4"/>
        <v>1146.24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f t="shared" si="5"/>
        <v>45</v>
      </c>
      <c r="B46" s="16" t="s">
        <v>61</v>
      </c>
      <c r="C46" s="19">
        <v>28000.0</v>
      </c>
      <c r="D46" s="7">
        <f t="shared" si="2"/>
        <v>16800</v>
      </c>
      <c r="E46" s="7">
        <f t="shared" ref="E46:F46" si="48">if($D46&lt;15000,$D46*12/100,15000*12/100)</f>
        <v>1800</v>
      </c>
      <c r="F46" s="7">
        <f t="shared" si="48"/>
        <v>1800</v>
      </c>
      <c r="G46" s="7">
        <f t="shared" si="4"/>
        <v>3600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f t="shared" si="5"/>
        <v>46</v>
      </c>
      <c r="B47" s="16" t="s">
        <v>62</v>
      </c>
      <c r="C47" s="19">
        <v>14758.0</v>
      </c>
      <c r="D47" s="7">
        <f t="shared" si="2"/>
        <v>8854.8</v>
      </c>
      <c r="E47" s="7">
        <f t="shared" ref="E47:F47" si="49">if($D47&lt;15000,$D47*12/100,15000*12/100)</f>
        <v>1062.576</v>
      </c>
      <c r="F47" s="7">
        <f t="shared" si="49"/>
        <v>1062.576</v>
      </c>
      <c r="G47" s="7">
        <f t="shared" si="4"/>
        <v>2125.152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f t="shared" si="5"/>
        <v>47</v>
      </c>
      <c r="B48" s="16" t="s">
        <v>63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34</v>
      </c>
      <c r="B49" s="10"/>
      <c r="C49" s="11">
        <f t="shared" ref="C49:G49" si="51">sum(C2:C48)</f>
        <v>848354</v>
      </c>
      <c r="D49" s="11">
        <f t="shared" si="51"/>
        <v>509012.4</v>
      </c>
      <c r="E49" s="11">
        <f t="shared" si="51"/>
        <v>55038.168</v>
      </c>
      <c r="F49" s="11">
        <f t="shared" si="51"/>
        <v>55038.168</v>
      </c>
      <c r="G49" s="11">
        <f t="shared" si="51"/>
        <v>110076.336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2"/>
      <c r="B1007" s="4"/>
      <c r="C1007" s="13"/>
      <c r="D1007" s="13"/>
      <c r="E1007" s="13"/>
      <c r="F1007" s="13"/>
      <c r="G1007" s="1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2"/>
      <c r="B1008" s="4"/>
      <c r="C1008" s="13"/>
      <c r="D1008" s="13"/>
      <c r="E1008" s="13"/>
      <c r="F1008" s="13"/>
      <c r="G1008" s="1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2"/>
      <c r="B1009" s="4"/>
      <c r="C1009" s="13"/>
      <c r="D1009" s="13"/>
      <c r="E1009" s="13"/>
      <c r="F1009" s="13"/>
      <c r="G1009" s="1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">
    <mergeCell ref="A49:B49"/>
  </mergeCells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8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8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8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12</v>
      </c>
      <c r="C6" s="7">
        <v>22286.0</v>
      </c>
      <c r="D6" s="7">
        <f t="shared" si="2"/>
        <v>13371.6</v>
      </c>
      <c r="E6" s="7">
        <f t="shared" ref="E6:F6" si="8">if($D6&lt;15000,$D6*12/100,15000*12/100)</f>
        <v>1604.592</v>
      </c>
      <c r="F6" s="7">
        <f t="shared" si="8"/>
        <v>1604.592</v>
      </c>
      <c r="G6" s="7">
        <f t="shared" si="4"/>
        <v>3209.184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13</v>
      </c>
      <c r="C7" s="7">
        <v>20000.0</v>
      </c>
      <c r="D7" s="7">
        <f t="shared" si="2"/>
        <v>12000</v>
      </c>
      <c r="E7" s="7">
        <f t="shared" ref="E7:F7" si="9">if($D7&lt;15000,$D7*12/100,15000*12/100)</f>
        <v>1440</v>
      </c>
      <c r="F7" s="7">
        <f t="shared" si="9"/>
        <v>1440</v>
      </c>
      <c r="G7" s="7">
        <f t="shared" si="4"/>
        <v>2880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16</v>
      </c>
      <c r="C8" s="7">
        <v>15027.0</v>
      </c>
      <c r="D8" s="7">
        <f t="shared" si="2"/>
        <v>9016.2</v>
      </c>
      <c r="E8" s="7">
        <f t="shared" ref="E8:F8" si="10">if($D8&lt;15000,$D8*12/100,15000*12/100)</f>
        <v>1081.944</v>
      </c>
      <c r="F8" s="7">
        <f t="shared" si="10"/>
        <v>1081.944</v>
      </c>
      <c r="G8" s="7">
        <f t="shared" si="4"/>
        <v>2163.888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18</v>
      </c>
      <c r="C10" s="7">
        <v>18000.0</v>
      </c>
      <c r="D10" s="7">
        <f t="shared" si="2"/>
        <v>10800</v>
      </c>
      <c r="E10" s="7">
        <f t="shared" ref="E10:F10" si="12">if($D10&lt;15000,$D10*12/100,15000*12/100)</f>
        <v>1296</v>
      </c>
      <c r="F10" s="7">
        <f t="shared" si="12"/>
        <v>1296</v>
      </c>
      <c r="G10" s="7">
        <f t="shared" si="4"/>
        <v>2592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19</v>
      </c>
      <c r="C11" s="7">
        <v>17000.0</v>
      </c>
      <c r="D11" s="7">
        <f t="shared" si="2"/>
        <v>10200</v>
      </c>
      <c r="E11" s="7">
        <f t="shared" ref="E11:F11" si="13">if($D11&lt;15000,$D11*12/100,15000*12/100)</f>
        <v>1224</v>
      </c>
      <c r="F11" s="7">
        <f t="shared" si="13"/>
        <v>1224</v>
      </c>
      <c r="G11" s="7">
        <f t="shared" si="4"/>
        <v>2448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20</v>
      </c>
      <c r="C12" s="7">
        <v>25000.0</v>
      </c>
      <c r="D12" s="7">
        <f t="shared" si="2"/>
        <v>15000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21</v>
      </c>
      <c r="C13" s="7">
        <v>25071.0</v>
      </c>
      <c r="D13" s="7">
        <f t="shared" si="2"/>
        <v>15042.6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23</v>
      </c>
      <c r="C15" s="7">
        <v>18000.0</v>
      </c>
      <c r="D15" s="7">
        <f t="shared" si="2"/>
        <v>10800</v>
      </c>
      <c r="E15" s="7">
        <f t="shared" ref="E15:F15" si="17">if($D15&lt;15000,$D15*12/100,15000*12/100)</f>
        <v>1296</v>
      </c>
      <c r="F15" s="7">
        <f t="shared" si="17"/>
        <v>1296</v>
      </c>
      <c r="G15" s="7">
        <f t="shared" si="4"/>
        <v>2592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35</v>
      </c>
      <c r="C17" s="7">
        <v>5000.0</v>
      </c>
      <c r="D17" s="7">
        <f t="shared" si="2"/>
        <v>3000</v>
      </c>
      <c r="E17" s="7">
        <f t="shared" ref="E17:F17" si="19">if($D17&lt;15000,$D17*12/100,15000*12/100)</f>
        <v>360</v>
      </c>
      <c r="F17" s="7">
        <f t="shared" si="19"/>
        <v>360</v>
      </c>
      <c r="G17" s="7">
        <f t="shared" si="4"/>
        <v>720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26</v>
      </c>
      <c r="C18" s="7">
        <v>25071.0</v>
      </c>
      <c r="D18" s="7">
        <f t="shared" si="2"/>
        <v>15042.6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28</v>
      </c>
      <c r="C19" s="7">
        <v>12071.0</v>
      </c>
      <c r="D19" s="7">
        <f t="shared" si="2"/>
        <v>7242.6</v>
      </c>
      <c r="E19" s="7">
        <f t="shared" ref="E19:F19" si="21">if($D19&lt;15000,$D19*12/100,15000*12/100)</f>
        <v>869.112</v>
      </c>
      <c r="F19" s="7">
        <f t="shared" si="21"/>
        <v>869.112</v>
      </c>
      <c r="G19" s="7">
        <f t="shared" si="4"/>
        <v>1738.224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37</v>
      </c>
      <c r="C21" s="7">
        <v>10000.0</v>
      </c>
      <c r="D21" s="7">
        <f t="shared" si="2"/>
        <v>6000</v>
      </c>
      <c r="E21" s="7">
        <f t="shared" ref="E21:F21" si="23">if($D21&lt;15000,$D21*12/100,15000*12/100)</f>
        <v>720</v>
      </c>
      <c r="F21" s="7">
        <f t="shared" si="23"/>
        <v>720</v>
      </c>
      <c r="G21" s="7">
        <f t="shared" si="4"/>
        <v>1440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38</v>
      </c>
      <c r="C22" s="7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39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42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43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44</v>
      </c>
      <c r="C26" s="7">
        <v>8000.0</v>
      </c>
      <c r="D26" s="7">
        <f t="shared" si="2"/>
        <v>4800</v>
      </c>
      <c r="E26" s="7">
        <f t="shared" ref="E26:F26" si="28">if($D26&lt;15000,$D26*12/100,15000*12/100)</f>
        <v>576</v>
      </c>
      <c r="F26" s="7">
        <f t="shared" si="28"/>
        <v>576</v>
      </c>
      <c r="G26" s="7">
        <f t="shared" si="4"/>
        <v>1152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47</v>
      </c>
      <c r="C27" s="7">
        <v>15179.0</v>
      </c>
      <c r="D27" s="7">
        <f t="shared" si="2"/>
        <v>9107.4</v>
      </c>
      <c r="E27" s="7">
        <f t="shared" ref="E27:F27" si="29">if($D27&lt;15000,$D27*12/100,15000*12/100)</f>
        <v>1092.888</v>
      </c>
      <c r="F27" s="7">
        <f t="shared" si="29"/>
        <v>1092.888</v>
      </c>
      <c r="G27" s="7">
        <f t="shared" si="4"/>
        <v>2185.776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49</v>
      </c>
      <c r="C28" s="7">
        <v>15000.0</v>
      </c>
      <c r="D28" s="7">
        <f t="shared" si="2"/>
        <v>9000</v>
      </c>
      <c r="E28" s="7">
        <f t="shared" ref="E28:F28" si="30">if($D28&lt;15000,$D28*12/100,15000*12/100)</f>
        <v>1080</v>
      </c>
      <c r="F28" s="7">
        <f t="shared" si="30"/>
        <v>1080</v>
      </c>
      <c r="G28" s="7">
        <f t="shared" si="4"/>
        <v>2160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51</v>
      </c>
      <c r="C29" s="7">
        <v>22000.0</v>
      </c>
      <c r="D29" s="7">
        <f t="shared" si="2"/>
        <v>13200</v>
      </c>
      <c r="E29" s="7">
        <f t="shared" ref="E29:F29" si="31">if($D29&lt;15000,$D29*12/100,15000*12/100)</f>
        <v>1584</v>
      </c>
      <c r="F29" s="7">
        <f t="shared" si="31"/>
        <v>1584</v>
      </c>
      <c r="G29" s="7">
        <f t="shared" si="4"/>
        <v>3168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56</v>
      </c>
      <c r="C30" s="7">
        <v>16848.0</v>
      </c>
      <c r="D30" s="7">
        <f t="shared" si="2"/>
        <v>10108.8</v>
      </c>
      <c r="E30" s="7">
        <f t="shared" ref="E30:F30" si="32">if($D30&lt;15000,$D30*12/100,15000*12/100)</f>
        <v>1213.056</v>
      </c>
      <c r="F30" s="7">
        <f t="shared" si="32"/>
        <v>1213.056</v>
      </c>
      <c r="G30" s="7">
        <f t="shared" si="4"/>
        <v>2426.112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58</v>
      </c>
      <c r="C31" s="7">
        <v>19286.0</v>
      </c>
      <c r="D31" s="7">
        <f t="shared" si="2"/>
        <v>11571.6</v>
      </c>
      <c r="E31" s="7">
        <f t="shared" ref="E31:F31" si="33">if($D31&lt;15000,$D31*12/100,15000*12/100)</f>
        <v>1388.592</v>
      </c>
      <c r="F31" s="7">
        <f t="shared" si="33"/>
        <v>1388.592</v>
      </c>
      <c r="G31" s="7">
        <f t="shared" si="4"/>
        <v>2777.184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59</v>
      </c>
      <c r="C32" s="7">
        <v>15000.0</v>
      </c>
      <c r="D32" s="7">
        <f t="shared" si="2"/>
        <v>9000</v>
      </c>
      <c r="E32" s="7">
        <f t="shared" ref="E32:F32" si="34">if($D32&lt;15000,$D32*12/100,15000*12/100)</f>
        <v>1080</v>
      </c>
      <c r="F32" s="7">
        <f t="shared" si="34"/>
        <v>1080</v>
      </c>
      <c r="G32" s="7">
        <f t="shared" si="4"/>
        <v>2160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60</v>
      </c>
      <c r="C33" s="7">
        <v>6000.0</v>
      </c>
      <c r="D33" s="7">
        <f t="shared" si="2"/>
        <v>3600</v>
      </c>
      <c r="E33" s="7">
        <f t="shared" ref="E33:F33" si="35">if($D33&lt;15000,$D33*12/100,15000*12/100)</f>
        <v>432</v>
      </c>
      <c r="F33" s="7">
        <f t="shared" si="35"/>
        <v>432</v>
      </c>
      <c r="G33" s="7">
        <f t="shared" si="4"/>
        <v>864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64</v>
      </c>
      <c r="C34" s="7">
        <v>17000.0</v>
      </c>
      <c r="D34" s="7">
        <f t="shared" si="2"/>
        <v>10200</v>
      </c>
      <c r="E34" s="7">
        <f t="shared" ref="E34:F34" si="36">if($D34&lt;15000,$D34*12/100,15000*12/100)</f>
        <v>1224</v>
      </c>
      <c r="F34" s="7">
        <f t="shared" si="36"/>
        <v>1224</v>
      </c>
      <c r="G34" s="7">
        <f t="shared" si="4"/>
        <v>2448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65</v>
      </c>
      <c r="C35" s="7">
        <v>16000.0</v>
      </c>
      <c r="D35" s="7">
        <f t="shared" si="2"/>
        <v>9600</v>
      </c>
      <c r="E35" s="7">
        <f t="shared" ref="E35:F35" si="37">if($D35&lt;15000,$D35*12/100,15000*12/100)</f>
        <v>1152</v>
      </c>
      <c r="F35" s="7">
        <f t="shared" si="37"/>
        <v>1152</v>
      </c>
      <c r="G35" s="7">
        <f t="shared" si="4"/>
        <v>2304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66</v>
      </c>
      <c r="C36" s="7">
        <v>16000.0</v>
      </c>
      <c r="D36" s="7">
        <f t="shared" si="2"/>
        <v>9600</v>
      </c>
      <c r="E36" s="7">
        <f t="shared" ref="E36:F36" si="38">if($D36&lt;15000,$D36*12/100,15000*12/100)</f>
        <v>1152</v>
      </c>
      <c r="F36" s="7">
        <f t="shared" si="38"/>
        <v>1152</v>
      </c>
      <c r="G36" s="7">
        <f t="shared" si="4"/>
        <v>2304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67</v>
      </c>
      <c r="C37" s="19">
        <v>22000.0</v>
      </c>
      <c r="D37" s="7">
        <f t="shared" si="2"/>
        <v>13200</v>
      </c>
      <c r="E37" s="7">
        <f t="shared" ref="E37:F37" si="39">if($D37&lt;15000,$D37*12/100,15000*12/100)</f>
        <v>1584</v>
      </c>
      <c r="F37" s="7">
        <f t="shared" si="39"/>
        <v>1584</v>
      </c>
      <c r="G37" s="7">
        <f t="shared" si="4"/>
        <v>3168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68</v>
      </c>
      <c r="C38" s="19">
        <v>5000.0</v>
      </c>
      <c r="D38" s="7">
        <f t="shared" si="2"/>
        <v>3000</v>
      </c>
      <c r="E38" s="7">
        <f t="shared" ref="E38:F38" si="40">if($D38&lt;15000,$D38*12/100,15000*12/100)</f>
        <v>360</v>
      </c>
      <c r="F38" s="7">
        <f t="shared" si="40"/>
        <v>360</v>
      </c>
      <c r="G38" s="7">
        <f t="shared" si="4"/>
        <v>720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69</v>
      </c>
      <c r="C39" s="19">
        <v>16714.0</v>
      </c>
      <c r="D39" s="7">
        <f t="shared" si="2"/>
        <v>10028.4</v>
      </c>
      <c r="E39" s="7">
        <f t="shared" ref="E39:F39" si="41">if($D39&lt;15000,$D39*12/100,15000*12/100)</f>
        <v>1203.408</v>
      </c>
      <c r="F39" s="7">
        <f t="shared" si="41"/>
        <v>1203.408</v>
      </c>
      <c r="G39" s="7">
        <f t="shared" si="4"/>
        <v>2406.816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30</v>
      </c>
      <c r="C40" s="19">
        <v>14000.0</v>
      </c>
      <c r="D40" s="7">
        <f t="shared" si="2"/>
        <v>8400</v>
      </c>
      <c r="E40" s="7">
        <f t="shared" ref="E40:F40" si="42">if($D40&lt;15000,$D40*12/100,15000*12/100)</f>
        <v>1008</v>
      </c>
      <c r="F40" s="7">
        <f t="shared" si="42"/>
        <v>1008</v>
      </c>
      <c r="G40" s="7">
        <f t="shared" si="4"/>
        <v>2016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31</v>
      </c>
      <c r="C41" s="19">
        <v>17357.0</v>
      </c>
      <c r="D41" s="7">
        <f t="shared" si="2"/>
        <v>10414.2</v>
      </c>
      <c r="E41" s="7">
        <f t="shared" ref="E41:F41" si="43">if($D41&lt;15000,$D41*12/100,15000*12/100)</f>
        <v>1249.704</v>
      </c>
      <c r="F41" s="7">
        <f t="shared" si="43"/>
        <v>1249.704</v>
      </c>
      <c r="G41" s="7">
        <f t="shared" si="4"/>
        <v>2499.408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32</v>
      </c>
      <c r="C42" s="19">
        <v>20000.0</v>
      </c>
      <c r="D42" s="7">
        <f t="shared" si="2"/>
        <v>12000</v>
      </c>
      <c r="E42" s="7">
        <f t="shared" ref="E42:F42" si="44">if($D42&lt;15000,$D42*12/100,15000*12/100)</f>
        <v>1440</v>
      </c>
      <c r="F42" s="7">
        <f t="shared" si="44"/>
        <v>1440</v>
      </c>
      <c r="G42" s="7">
        <f t="shared" si="4"/>
        <v>2880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53</v>
      </c>
      <c r="C43" s="19">
        <v>16089.0</v>
      </c>
      <c r="D43" s="7">
        <f t="shared" si="2"/>
        <v>9653.4</v>
      </c>
      <c r="E43" s="7">
        <f t="shared" ref="E43:F43" si="45">if($D43&lt;15000,$D43*12/100,15000*12/100)</f>
        <v>1158.408</v>
      </c>
      <c r="F43" s="7">
        <f t="shared" si="45"/>
        <v>1158.408</v>
      </c>
      <c r="G43" s="7">
        <f t="shared" si="4"/>
        <v>2316.816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f t="shared" si="5"/>
        <v>43</v>
      </c>
      <c r="B44" s="16" t="s">
        <v>54</v>
      </c>
      <c r="C44" s="19">
        <v>17000.0</v>
      </c>
      <c r="D44" s="7">
        <f t="shared" si="2"/>
        <v>10200</v>
      </c>
      <c r="E44" s="7">
        <f t="shared" ref="E44:F44" si="46">if($D44&lt;15000,$D44*12/100,15000*12/100)</f>
        <v>1224</v>
      </c>
      <c r="F44" s="7">
        <f t="shared" si="46"/>
        <v>1224</v>
      </c>
      <c r="G44" s="7">
        <f t="shared" si="4"/>
        <v>2448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f t="shared" si="5"/>
        <v>44</v>
      </c>
      <c r="B45" s="16" t="s">
        <v>55</v>
      </c>
      <c r="C45" s="19">
        <v>3375.0</v>
      </c>
      <c r="D45" s="7">
        <f t="shared" si="2"/>
        <v>2025</v>
      </c>
      <c r="E45" s="7">
        <f t="shared" ref="E45:F45" si="47">if($D45&lt;15000,$D45*12/100,15000*12/100)</f>
        <v>243</v>
      </c>
      <c r="F45" s="7">
        <f t="shared" si="47"/>
        <v>243</v>
      </c>
      <c r="G45" s="7">
        <f t="shared" si="4"/>
        <v>486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f t="shared" si="5"/>
        <v>45</v>
      </c>
      <c r="B46" s="16" t="s">
        <v>61</v>
      </c>
      <c r="C46" s="19">
        <v>28000.0</v>
      </c>
      <c r="D46" s="7">
        <f t="shared" si="2"/>
        <v>16800</v>
      </c>
      <c r="E46" s="7">
        <f t="shared" ref="E46:F46" si="48">if($D46&lt;15000,$D46*12/100,15000*12/100)</f>
        <v>1800</v>
      </c>
      <c r="F46" s="7">
        <f t="shared" si="48"/>
        <v>1800</v>
      </c>
      <c r="G46" s="7">
        <f t="shared" si="4"/>
        <v>3600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f t="shared" si="5"/>
        <v>46</v>
      </c>
      <c r="B47" s="16" t="s">
        <v>62</v>
      </c>
      <c r="C47" s="19">
        <v>14464.0</v>
      </c>
      <c r="D47" s="7">
        <f t="shared" si="2"/>
        <v>8678.4</v>
      </c>
      <c r="E47" s="7">
        <f t="shared" ref="E47:F47" si="49">if($D47&lt;15000,$D47*12/100,15000*12/100)</f>
        <v>1041.408</v>
      </c>
      <c r="F47" s="7">
        <f t="shared" si="49"/>
        <v>1041.408</v>
      </c>
      <c r="G47" s="7">
        <f t="shared" si="4"/>
        <v>2082.816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f t="shared" si="5"/>
        <v>47</v>
      </c>
      <c r="B48" s="16" t="s">
        <v>63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34</v>
      </c>
      <c r="B49" s="10"/>
      <c r="C49" s="11">
        <f t="shared" ref="C49:G49" si="51">sum(C2:C48)</f>
        <v>911838</v>
      </c>
      <c r="D49" s="11">
        <f t="shared" si="51"/>
        <v>547102.8</v>
      </c>
      <c r="E49" s="11">
        <f t="shared" si="51"/>
        <v>59666.112</v>
      </c>
      <c r="F49" s="11">
        <f t="shared" si="51"/>
        <v>59666.112</v>
      </c>
      <c r="G49" s="11">
        <f t="shared" si="51"/>
        <v>119332.224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2"/>
      <c r="B1007" s="4"/>
      <c r="C1007" s="13"/>
      <c r="D1007" s="13"/>
      <c r="E1007" s="13"/>
      <c r="F1007" s="13"/>
      <c r="G1007" s="1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2"/>
      <c r="B1008" s="4"/>
      <c r="C1008" s="13"/>
      <c r="D1008" s="13"/>
      <c r="E1008" s="13"/>
      <c r="F1008" s="13"/>
      <c r="G1008" s="1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2"/>
      <c r="B1009" s="4"/>
      <c r="C1009" s="13"/>
      <c r="D1009" s="13"/>
      <c r="E1009" s="13"/>
      <c r="F1009" s="13"/>
      <c r="G1009" s="1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">
    <mergeCell ref="A49:B49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5" max="5" width="22.13"/>
    <col customWidth="1" min="6" max="6" width="21.88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17" t="s">
        <v>7</v>
      </c>
      <c r="C2" s="7">
        <v>70000.0</v>
      </c>
      <c r="D2" s="7">
        <f t="shared" ref="D2:D48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48" si="4">E2+F2</f>
        <v>3600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>
        <f t="shared" ref="A3:A48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>
        <f t="shared" si="5"/>
        <v>5</v>
      </c>
      <c r="B6" s="17" t="s">
        <v>12</v>
      </c>
      <c r="C6" s="7">
        <v>26000.0</v>
      </c>
      <c r="D6" s="7">
        <f t="shared" si="2"/>
        <v>15600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f t="shared" si="5"/>
        <v>6</v>
      </c>
      <c r="B7" s="17" t="s">
        <v>13</v>
      </c>
      <c r="C7" s="7">
        <v>19677.0</v>
      </c>
      <c r="D7" s="7">
        <f t="shared" si="2"/>
        <v>11806.2</v>
      </c>
      <c r="E7" s="7">
        <f t="shared" ref="E7:F7" si="9">if($D7&lt;15000,$D7*12/100,15000*12/100)</f>
        <v>1416.744</v>
      </c>
      <c r="F7" s="7">
        <f t="shared" si="9"/>
        <v>1416.744</v>
      </c>
      <c r="G7" s="7">
        <f t="shared" si="4"/>
        <v>2833.488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f t="shared" si="5"/>
        <v>7</v>
      </c>
      <c r="B8" s="17" t="s">
        <v>16</v>
      </c>
      <c r="C8" s="7">
        <v>15435.0</v>
      </c>
      <c r="D8" s="7">
        <f t="shared" si="2"/>
        <v>9261</v>
      </c>
      <c r="E8" s="7">
        <f t="shared" ref="E8:F8" si="10">if($D8&lt;15000,$D8*12/100,15000*12/100)</f>
        <v>1111.32</v>
      </c>
      <c r="F8" s="7">
        <f t="shared" si="10"/>
        <v>1111.32</v>
      </c>
      <c r="G8" s="7">
        <f t="shared" si="4"/>
        <v>2222.64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f t="shared" si="5"/>
        <v>8</v>
      </c>
      <c r="B9" s="17" t="s">
        <v>17</v>
      </c>
      <c r="C9" s="7">
        <v>20323.0</v>
      </c>
      <c r="D9" s="7">
        <f t="shared" si="2"/>
        <v>12193.8</v>
      </c>
      <c r="E9" s="7">
        <f t="shared" ref="E9:F9" si="11">if($D9&lt;15000,$D9*12/100,15000*12/100)</f>
        <v>1463.256</v>
      </c>
      <c r="F9" s="7">
        <f t="shared" si="11"/>
        <v>1463.256</v>
      </c>
      <c r="G9" s="7">
        <f t="shared" si="4"/>
        <v>2926.512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f t="shared" si="5"/>
        <v>9</v>
      </c>
      <c r="B10" s="17" t="s">
        <v>18</v>
      </c>
      <c r="C10" s="7">
        <v>17419.0</v>
      </c>
      <c r="D10" s="7">
        <f t="shared" si="2"/>
        <v>10451.4</v>
      </c>
      <c r="E10" s="7">
        <f t="shared" ref="E10:F10" si="12">if($D10&lt;15000,$D10*12/100,15000*12/100)</f>
        <v>1254.168</v>
      </c>
      <c r="F10" s="7">
        <f t="shared" si="12"/>
        <v>1254.168</v>
      </c>
      <c r="G10" s="7">
        <f t="shared" si="4"/>
        <v>2508.336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f t="shared" si="5"/>
        <v>10</v>
      </c>
      <c r="B11" s="17" t="s">
        <v>19</v>
      </c>
      <c r="C11" s="7">
        <v>16726.0</v>
      </c>
      <c r="D11" s="7">
        <f t="shared" si="2"/>
        <v>10035.6</v>
      </c>
      <c r="E11" s="7">
        <f t="shared" ref="E11:F11" si="13">if($D11&lt;15000,$D11*12/100,15000*12/100)</f>
        <v>1204.272</v>
      </c>
      <c r="F11" s="7">
        <f t="shared" si="13"/>
        <v>1204.272</v>
      </c>
      <c r="G11" s="7">
        <f t="shared" si="4"/>
        <v>2408.544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f t="shared" si="5"/>
        <v>11</v>
      </c>
      <c r="B12" s="17" t="s">
        <v>20</v>
      </c>
      <c r="C12" s="7">
        <v>22581.0</v>
      </c>
      <c r="D12" s="7">
        <f t="shared" si="2"/>
        <v>13548.6</v>
      </c>
      <c r="E12" s="7">
        <f t="shared" ref="E12:F12" si="14">if($D12&lt;15000,$D12*12/100,15000*12/100)</f>
        <v>1625.832</v>
      </c>
      <c r="F12" s="7">
        <f t="shared" si="14"/>
        <v>1625.832</v>
      </c>
      <c r="G12" s="7">
        <f t="shared" si="4"/>
        <v>3251.664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f t="shared" si="5"/>
        <v>12</v>
      </c>
      <c r="B13" s="17" t="s">
        <v>21</v>
      </c>
      <c r="C13" s="7">
        <v>26129.0</v>
      </c>
      <c r="D13" s="7">
        <f t="shared" si="2"/>
        <v>15677.4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f t="shared" si="5"/>
        <v>14</v>
      </c>
      <c r="B15" s="17" t="s">
        <v>23</v>
      </c>
      <c r="C15" s="7">
        <v>18000.0</v>
      </c>
      <c r="D15" s="7">
        <f t="shared" si="2"/>
        <v>10800</v>
      </c>
      <c r="E15" s="7">
        <f t="shared" ref="E15:F15" si="17">if($D15&lt;15000,$D15*12/100,15000*12/100)</f>
        <v>1296</v>
      </c>
      <c r="F15" s="7">
        <f t="shared" si="17"/>
        <v>1296</v>
      </c>
      <c r="G15" s="7">
        <f t="shared" si="4"/>
        <v>2592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f t="shared" si="5"/>
        <v>16</v>
      </c>
      <c r="B17" s="17" t="s">
        <v>35</v>
      </c>
      <c r="C17" s="7">
        <v>5000.0</v>
      </c>
      <c r="D17" s="7">
        <f t="shared" si="2"/>
        <v>3000</v>
      </c>
      <c r="E17" s="7">
        <f t="shared" ref="E17:F17" si="19">if($D17&lt;15000,$D17*12/100,15000*12/100)</f>
        <v>360</v>
      </c>
      <c r="F17" s="7">
        <f t="shared" si="19"/>
        <v>360</v>
      </c>
      <c r="G17" s="7">
        <f t="shared" si="4"/>
        <v>720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f t="shared" si="5"/>
        <v>17</v>
      </c>
      <c r="B18" s="17" t="s">
        <v>26</v>
      </c>
      <c r="C18" s="7">
        <v>27000.0</v>
      </c>
      <c r="D18" s="7">
        <f t="shared" si="2"/>
        <v>16200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f t="shared" si="5"/>
        <v>18</v>
      </c>
      <c r="B19" s="17" t="s">
        <v>28</v>
      </c>
      <c r="C19" s="7">
        <v>11952.0</v>
      </c>
      <c r="D19" s="7">
        <f t="shared" si="2"/>
        <v>7171.2</v>
      </c>
      <c r="E19" s="7">
        <f t="shared" ref="E19:F19" si="21">if($D19&lt;15000,$D19*12/100,15000*12/100)</f>
        <v>860.544</v>
      </c>
      <c r="F19" s="7">
        <f t="shared" si="21"/>
        <v>860.544</v>
      </c>
      <c r="G19" s="7">
        <f t="shared" si="4"/>
        <v>1721.088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f t="shared" si="5"/>
        <v>19</v>
      </c>
      <c r="B20" s="17" t="s">
        <v>36</v>
      </c>
      <c r="C20" s="7">
        <v>21290.0</v>
      </c>
      <c r="D20" s="7">
        <f t="shared" si="2"/>
        <v>12774</v>
      </c>
      <c r="E20" s="7">
        <f t="shared" ref="E20:F20" si="22">if($D20&lt;15000,$D20*12/100,15000*12/100)</f>
        <v>1532.88</v>
      </c>
      <c r="F20" s="7">
        <f t="shared" si="22"/>
        <v>1532.88</v>
      </c>
      <c r="G20" s="7">
        <f t="shared" si="4"/>
        <v>3065.76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f t="shared" si="5"/>
        <v>20</v>
      </c>
      <c r="B21" s="17" t="s">
        <v>37</v>
      </c>
      <c r="C21" s="7">
        <v>6935.0</v>
      </c>
      <c r="D21" s="7">
        <f t="shared" si="2"/>
        <v>4161</v>
      </c>
      <c r="E21" s="7">
        <f t="shared" ref="E21:F21" si="23">if($D21&lt;15000,$D21*12/100,15000*12/100)</f>
        <v>499.32</v>
      </c>
      <c r="F21" s="7">
        <f t="shared" si="23"/>
        <v>499.32</v>
      </c>
      <c r="G21" s="7">
        <f t="shared" si="4"/>
        <v>998.64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f t="shared" si="5"/>
        <v>21</v>
      </c>
      <c r="B22" s="17" t="s">
        <v>38</v>
      </c>
      <c r="C22" s="7">
        <v>21290.0</v>
      </c>
      <c r="D22" s="7">
        <f t="shared" si="2"/>
        <v>12774</v>
      </c>
      <c r="E22" s="7">
        <f t="shared" ref="E22:F22" si="24">if($D22&lt;15000,$D22*12/100,15000*12/100)</f>
        <v>1532.88</v>
      </c>
      <c r="F22" s="7">
        <f t="shared" si="24"/>
        <v>1532.88</v>
      </c>
      <c r="G22" s="7">
        <f t="shared" si="4"/>
        <v>3065.76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f t="shared" si="5"/>
        <v>22</v>
      </c>
      <c r="B23" s="17" t="s">
        <v>39</v>
      </c>
      <c r="C23" s="7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f t="shared" si="5"/>
        <v>23</v>
      </c>
      <c r="B24" s="17" t="s">
        <v>42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f t="shared" si="5"/>
        <v>24</v>
      </c>
      <c r="B25" s="17" t="s">
        <v>43</v>
      </c>
      <c r="C25" s="7">
        <v>12000.0</v>
      </c>
      <c r="D25" s="7">
        <f t="shared" si="2"/>
        <v>7200</v>
      </c>
      <c r="E25" s="7">
        <f t="shared" ref="E25:F25" si="27">if($D25&lt;15000,$D25*12/100,15000*12/100)</f>
        <v>864</v>
      </c>
      <c r="F25" s="7">
        <f t="shared" si="27"/>
        <v>864</v>
      </c>
      <c r="G25" s="7">
        <f t="shared" si="4"/>
        <v>1728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f t="shared" si="5"/>
        <v>25</v>
      </c>
      <c r="B26" s="17" t="s">
        <v>44</v>
      </c>
      <c r="C26" s="7">
        <v>7484.0</v>
      </c>
      <c r="D26" s="7">
        <f t="shared" si="2"/>
        <v>4490.4</v>
      </c>
      <c r="E26" s="7">
        <f t="shared" ref="E26:F26" si="28">if($D26&lt;15000,$D26*12/100,15000*12/100)</f>
        <v>538.848</v>
      </c>
      <c r="F26" s="7">
        <f t="shared" si="28"/>
        <v>538.848</v>
      </c>
      <c r="G26" s="7">
        <f t="shared" si="4"/>
        <v>1077.696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>
        <f t="shared" si="5"/>
        <v>26</v>
      </c>
      <c r="B27" s="17" t="s">
        <v>47</v>
      </c>
      <c r="C27" s="7">
        <v>15355.0</v>
      </c>
      <c r="D27" s="7">
        <f t="shared" si="2"/>
        <v>9213</v>
      </c>
      <c r="E27" s="7">
        <f t="shared" ref="E27:F27" si="29">if($D27&lt;15000,$D27*12/100,15000*12/100)</f>
        <v>1105.56</v>
      </c>
      <c r="F27" s="7">
        <f t="shared" si="29"/>
        <v>1105.56</v>
      </c>
      <c r="G27" s="7">
        <f t="shared" si="4"/>
        <v>2211.12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f t="shared" si="5"/>
        <v>27</v>
      </c>
      <c r="B28" s="17" t="s">
        <v>49</v>
      </c>
      <c r="C28" s="7">
        <v>15000.0</v>
      </c>
      <c r="D28" s="7">
        <f t="shared" si="2"/>
        <v>9000</v>
      </c>
      <c r="E28" s="7">
        <f t="shared" ref="E28:F28" si="30">if($D28&lt;15000,$D28*12/100,15000*12/100)</f>
        <v>1080</v>
      </c>
      <c r="F28" s="7">
        <f t="shared" si="30"/>
        <v>1080</v>
      </c>
      <c r="G28" s="7">
        <f t="shared" si="4"/>
        <v>2160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f t="shared" si="5"/>
        <v>28</v>
      </c>
      <c r="B29" s="17" t="s">
        <v>51</v>
      </c>
      <c r="C29" s="7">
        <v>22000.0</v>
      </c>
      <c r="D29" s="7">
        <f t="shared" si="2"/>
        <v>13200</v>
      </c>
      <c r="E29" s="7">
        <f t="shared" ref="E29:F29" si="31">if($D29&lt;15000,$D29*12/100,15000*12/100)</f>
        <v>1584</v>
      </c>
      <c r="F29" s="7">
        <f t="shared" si="31"/>
        <v>1584</v>
      </c>
      <c r="G29" s="7">
        <f t="shared" si="4"/>
        <v>3168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f t="shared" si="5"/>
        <v>29</v>
      </c>
      <c r="B30" s="17" t="s">
        <v>56</v>
      </c>
      <c r="C30" s="7">
        <v>15516.0</v>
      </c>
      <c r="D30" s="7">
        <f t="shared" si="2"/>
        <v>9309.6</v>
      </c>
      <c r="E30" s="7">
        <f t="shared" ref="E30:F30" si="32">if($D30&lt;15000,$D30*12/100,15000*12/100)</f>
        <v>1117.152</v>
      </c>
      <c r="F30" s="7">
        <f t="shared" si="32"/>
        <v>1117.152</v>
      </c>
      <c r="G30" s="7">
        <f t="shared" si="4"/>
        <v>2234.304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f t="shared" si="5"/>
        <v>30</v>
      </c>
      <c r="B31" s="17" t="s">
        <v>58</v>
      </c>
      <c r="C31" s="7">
        <v>19032.0</v>
      </c>
      <c r="D31" s="7">
        <f t="shared" si="2"/>
        <v>11419.2</v>
      </c>
      <c r="E31" s="7">
        <f t="shared" ref="E31:F31" si="33">if($D31&lt;15000,$D31*12/100,15000*12/100)</f>
        <v>1370.304</v>
      </c>
      <c r="F31" s="7">
        <f t="shared" si="33"/>
        <v>1370.304</v>
      </c>
      <c r="G31" s="7">
        <f t="shared" si="4"/>
        <v>2740.608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f t="shared" si="5"/>
        <v>31</v>
      </c>
      <c r="B32" s="17" t="s">
        <v>59</v>
      </c>
      <c r="C32" s="7">
        <v>15000.0</v>
      </c>
      <c r="D32" s="7">
        <f t="shared" si="2"/>
        <v>9000</v>
      </c>
      <c r="E32" s="7">
        <f t="shared" ref="E32:F32" si="34">if($D32&lt;15000,$D32*12/100,15000*12/100)</f>
        <v>1080</v>
      </c>
      <c r="F32" s="7">
        <f t="shared" si="34"/>
        <v>1080</v>
      </c>
      <c r="G32" s="7">
        <f t="shared" si="4"/>
        <v>2160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>
        <f t="shared" si="5"/>
        <v>32</v>
      </c>
      <c r="B33" s="17" t="s">
        <v>60</v>
      </c>
      <c r="C33" s="7">
        <v>5806.0</v>
      </c>
      <c r="D33" s="7">
        <f t="shared" si="2"/>
        <v>3483.6</v>
      </c>
      <c r="E33" s="7">
        <f t="shared" ref="E33:F33" si="35">if($D33&lt;15000,$D33*12/100,15000*12/100)</f>
        <v>418.032</v>
      </c>
      <c r="F33" s="7">
        <f t="shared" si="35"/>
        <v>418.032</v>
      </c>
      <c r="G33" s="7">
        <f t="shared" si="4"/>
        <v>836.064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f t="shared" si="5"/>
        <v>33</v>
      </c>
      <c r="B34" s="18" t="s">
        <v>64</v>
      </c>
      <c r="C34" s="7">
        <v>14532.0</v>
      </c>
      <c r="D34" s="7">
        <f t="shared" si="2"/>
        <v>8719.2</v>
      </c>
      <c r="E34" s="7">
        <f t="shared" ref="E34:F34" si="36">if($D34&lt;15000,$D34*12/100,15000*12/100)</f>
        <v>1046.304</v>
      </c>
      <c r="F34" s="7">
        <f t="shared" si="36"/>
        <v>1046.304</v>
      </c>
      <c r="G34" s="7">
        <f t="shared" si="4"/>
        <v>2092.608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f t="shared" si="5"/>
        <v>34</v>
      </c>
      <c r="B35" s="18" t="s">
        <v>65</v>
      </c>
      <c r="C35" s="7">
        <v>15484.0</v>
      </c>
      <c r="D35" s="7">
        <f t="shared" si="2"/>
        <v>9290.4</v>
      </c>
      <c r="E35" s="7">
        <f t="shared" ref="E35:F35" si="37">if($D35&lt;15000,$D35*12/100,15000*12/100)</f>
        <v>1114.848</v>
      </c>
      <c r="F35" s="7">
        <f t="shared" si="37"/>
        <v>1114.848</v>
      </c>
      <c r="G35" s="7">
        <f t="shared" si="4"/>
        <v>2229.696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>
        <f t="shared" si="5"/>
        <v>35</v>
      </c>
      <c r="B36" s="18" t="s">
        <v>66</v>
      </c>
      <c r="C36" s="7">
        <v>16000.0</v>
      </c>
      <c r="D36" s="7">
        <f t="shared" si="2"/>
        <v>9600</v>
      </c>
      <c r="E36" s="7">
        <f t="shared" ref="E36:F36" si="38">if($D36&lt;15000,$D36*12/100,15000*12/100)</f>
        <v>1152</v>
      </c>
      <c r="F36" s="7">
        <f t="shared" si="38"/>
        <v>1152</v>
      </c>
      <c r="G36" s="7">
        <f t="shared" si="4"/>
        <v>2304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f t="shared" si="5"/>
        <v>36</v>
      </c>
      <c r="B37" s="18" t="s">
        <v>67</v>
      </c>
      <c r="C37" s="19">
        <v>22000.0</v>
      </c>
      <c r="D37" s="7">
        <f t="shared" si="2"/>
        <v>13200</v>
      </c>
      <c r="E37" s="7">
        <f t="shared" ref="E37:F37" si="39">if($D37&lt;15000,$D37*12/100,15000*12/100)</f>
        <v>1584</v>
      </c>
      <c r="F37" s="7">
        <f t="shared" si="39"/>
        <v>1584</v>
      </c>
      <c r="G37" s="7">
        <f t="shared" si="4"/>
        <v>3168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f t="shared" si="5"/>
        <v>37</v>
      </c>
      <c r="B38" s="16" t="s">
        <v>68</v>
      </c>
      <c r="C38" s="19">
        <v>5000.0</v>
      </c>
      <c r="D38" s="7">
        <f t="shared" si="2"/>
        <v>3000</v>
      </c>
      <c r="E38" s="7">
        <f t="shared" ref="E38:F38" si="40">if($D38&lt;15000,$D38*12/100,15000*12/100)</f>
        <v>360</v>
      </c>
      <c r="F38" s="7">
        <f t="shared" si="40"/>
        <v>360</v>
      </c>
      <c r="G38" s="7">
        <f t="shared" si="4"/>
        <v>720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>
        <f t="shared" si="5"/>
        <v>38</v>
      </c>
      <c r="B39" s="16" t="s">
        <v>69</v>
      </c>
      <c r="C39" s="19">
        <v>15097.0</v>
      </c>
      <c r="D39" s="7">
        <f t="shared" si="2"/>
        <v>9058.2</v>
      </c>
      <c r="E39" s="7">
        <f t="shared" ref="E39:F39" si="41">if($D39&lt;15000,$D39*12/100,15000*12/100)</f>
        <v>1086.984</v>
      </c>
      <c r="F39" s="7">
        <f t="shared" si="41"/>
        <v>1086.984</v>
      </c>
      <c r="G39" s="7">
        <f t="shared" si="4"/>
        <v>2173.968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f t="shared" si="5"/>
        <v>39</v>
      </c>
      <c r="B40" s="16" t="s">
        <v>30</v>
      </c>
      <c r="C40" s="19">
        <v>14000.0</v>
      </c>
      <c r="D40" s="7">
        <f t="shared" si="2"/>
        <v>8400</v>
      </c>
      <c r="E40" s="7">
        <f t="shared" ref="E40:F40" si="42">if($D40&lt;15000,$D40*12/100,15000*12/100)</f>
        <v>1008</v>
      </c>
      <c r="F40" s="7">
        <f t="shared" si="42"/>
        <v>1008</v>
      </c>
      <c r="G40" s="7">
        <f t="shared" si="4"/>
        <v>2016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f t="shared" si="5"/>
        <v>40</v>
      </c>
      <c r="B41" s="16" t="s">
        <v>31</v>
      </c>
      <c r="C41" s="19">
        <v>24194.0</v>
      </c>
      <c r="D41" s="7">
        <f t="shared" si="2"/>
        <v>14516.4</v>
      </c>
      <c r="E41" s="7">
        <f t="shared" ref="E41:F41" si="43">if($D41&lt;15000,$D41*12/100,15000*12/100)</f>
        <v>1741.968</v>
      </c>
      <c r="F41" s="7">
        <f t="shared" si="43"/>
        <v>1741.968</v>
      </c>
      <c r="G41" s="7">
        <f t="shared" si="4"/>
        <v>3483.936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>
        <f t="shared" si="5"/>
        <v>41</v>
      </c>
      <c r="B42" s="16" t="s">
        <v>32</v>
      </c>
      <c r="C42" s="19">
        <v>20000.0</v>
      </c>
      <c r="D42" s="7">
        <f t="shared" si="2"/>
        <v>12000</v>
      </c>
      <c r="E42" s="7">
        <f t="shared" ref="E42:F42" si="44">if($D42&lt;15000,$D42*12/100,15000*12/100)</f>
        <v>1440</v>
      </c>
      <c r="F42" s="7">
        <f t="shared" si="44"/>
        <v>1440</v>
      </c>
      <c r="G42" s="7">
        <f t="shared" si="4"/>
        <v>2880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f t="shared" si="5"/>
        <v>42</v>
      </c>
      <c r="B43" s="16" t="s">
        <v>53</v>
      </c>
      <c r="C43" s="19">
        <v>17000.0</v>
      </c>
      <c r="D43" s="7">
        <f t="shared" si="2"/>
        <v>10200</v>
      </c>
      <c r="E43" s="7">
        <f t="shared" ref="E43:F43" si="45">if($D43&lt;15000,$D43*12/100,15000*12/100)</f>
        <v>1224</v>
      </c>
      <c r="F43" s="7">
        <f t="shared" si="45"/>
        <v>1224</v>
      </c>
      <c r="G43" s="7">
        <f t="shared" si="4"/>
        <v>2448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f t="shared" si="5"/>
        <v>43</v>
      </c>
      <c r="B44" s="16" t="s">
        <v>54</v>
      </c>
      <c r="C44" s="19">
        <v>17000.0</v>
      </c>
      <c r="D44" s="7">
        <f t="shared" si="2"/>
        <v>10200</v>
      </c>
      <c r="E44" s="7">
        <f t="shared" ref="E44:F44" si="46">if($D44&lt;15000,$D44*12/100,15000*12/100)</f>
        <v>1224</v>
      </c>
      <c r="F44" s="7">
        <f t="shared" si="46"/>
        <v>1224</v>
      </c>
      <c r="G44" s="7">
        <f t="shared" si="4"/>
        <v>2448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>
        <f t="shared" si="5"/>
        <v>44</v>
      </c>
      <c r="B45" s="16" t="s">
        <v>55</v>
      </c>
      <c r="C45" s="19">
        <v>10500.0</v>
      </c>
      <c r="D45" s="7">
        <f t="shared" si="2"/>
        <v>6300</v>
      </c>
      <c r="E45" s="7">
        <f t="shared" ref="E45:F45" si="47">if($D45&lt;15000,$D45*12/100,15000*12/100)</f>
        <v>756</v>
      </c>
      <c r="F45" s="7">
        <f t="shared" si="47"/>
        <v>756</v>
      </c>
      <c r="G45" s="7">
        <f t="shared" si="4"/>
        <v>1512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f t="shared" si="5"/>
        <v>45</v>
      </c>
      <c r="B46" s="16" t="s">
        <v>61</v>
      </c>
      <c r="C46" s="19">
        <v>28000.0</v>
      </c>
      <c r="D46" s="7">
        <f t="shared" si="2"/>
        <v>16800</v>
      </c>
      <c r="E46" s="7">
        <f t="shared" ref="E46:F46" si="48">if($D46&lt;15000,$D46*12/100,15000*12/100)</f>
        <v>1800</v>
      </c>
      <c r="F46" s="7">
        <f t="shared" si="48"/>
        <v>1800</v>
      </c>
      <c r="G46" s="7">
        <f t="shared" si="4"/>
        <v>3600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f t="shared" si="5"/>
        <v>46</v>
      </c>
      <c r="B47" s="16" t="s">
        <v>62</v>
      </c>
      <c r="C47" s="19">
        <v>15000.0</v>
      </c>
      <c r="D47" s="7">
        <f t="shared" si="2"/>
        <v>9000</v>
      </c>
      <c r="E47" s="7">
        <f t="shared" ref="E47:F47" si="49">if($D47&lt;15000,$D47*12/100,15000*12/100)</f>
        <v>1080</v>
      </c>
      <c r="F47" s="7">
        <f t="shared" si="49"/>
        <v>1080</v>
      </c>
      <c r="G47" s="7">
        <f t="shared" si="4"/>
        <v>2160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>
        <f t="shared" si="5"/>
        <v>47</v>
      </c>
      <c r="B48" s="16" t="s">
        <v>63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34</v>
      </c>
      <c r="B49" s="10"/>
      <c r="C49" s="11">
        <f t="shared" ref="C49:G49" si="51">sum(C2:C48)</f>
        <v>918757</v>
      </c>
      <c r="D49" s="11">
        <f t="shared" si="51"/>
        <v>551254.2</v>
      </c>
      <c r="E49" s="11">
        <f t="shared" si="51"/>
        <v>59877.216</v>
      </c>
      <c r="F49" s="11">
        <f t="shared" si="51"/>
        <v>59877.216</v>
      </c>
      <c r="G49" s="11">
        <f t="shared" si="51"/>
        <v>119754.432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13"/>
      <c r="D50" s="13"/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13"/>
      <c r="D51" s="13"/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13"/>
      <c r="D52" s="13"/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13"/>
      <c r="D53" s="13"/>
      <c r="E53" s="13"/>
      <c r="F53" s="13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13"/>
      <c r="D54" s="13"/>
      <c r="E54" s="13"/>
      <c r="F54" s="13"/>
      <c r="G54" s="1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13"/>
      <c r="D55" s="13"/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13"/>
      <c r="D56" s="13"/>
      <c r="E56" s="13"/>
      <c r="F56" s="13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13"/>
      <c r="D57" s="13"/>
      <c r="E57" s="13"/>
      <c r="F57" s="13"/>
      <c r="G57" s="1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13"/>
      <c r="D58" s="13"/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13"/>
      <c r="D59" s="13"/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13"/>
      <c r="D60" s="13"/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13"/>
      <c r="D61" s="13"/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13"/>
      <c r="D62" s="13"/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13"/>
      <c r="D63" s="13"/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13"/>
      <c r="D64" s="13"/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13"/>
      <c r="D65" s="13"/>
      <c r="E65" s="13"/>
      <c r="F65" s="13"/>
      <c r="G65" s="1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13"/>
      <c r="D66" s="13"/>
      <c r="E66" s="13"/>
      <c r="F66" s="13"/>
      <c r="G66" s="1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13"/>
      <c r="D67" s="13"/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13"/>
      <c r="D68" s="13"/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13"/>
      <c r="D69" s="13"/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13"/>
      <c r="D70" s="13"/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13"/>
      <c r="D71" s="13"/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13"/>
      <c r="D72" s="13"/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13"/>
      <c r="D73" s="13"/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13"/>
      <c r="D74" s="13"/>
      <c r="E74" s="13"/>
      <c r="F74" s="13"/>
      <c r="G74" s="1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13"/>
      <c r="D75" s="13"/>
      <c r="E75" s="13"/>
      <c r="F75" s="13"/>
      <c r="G75" s="1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13"/>
      <c r="D76" s="13"/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13"/>
      <c r="D77" s="13"/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13"/>
      <c r="D78" s="13"/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13"/>
      <c r="D79" s="13"/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13"/>
      <c r="D80" s="13"/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13"/>
      <c r="D81" s="13"/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13"/>
      <c r="D82" s="13"/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13"/>
      <c r="D83" s="13"/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13"/>
      <c r="D84" s="13"/>
      <c r="E84" s="13"/>
      <c r="F84" s="13"/>
      <c r="G84" s="1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13"/>
      <c r="D85" s="13"/>
      <c r="E85" s="13"/>
      <c r="F85" s="13"/>
      <c r="G85" s="1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13"/>
      <c r="D86" s="13"/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13"/>
      <c r="D87" s="13"/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13"/>
      <c r="D88" s="13"/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13"/>
      <c r="D89" s="13"/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13"/>
      <c r="D90" s="13"/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13"/>
      <c r="D91" s="13"/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13"/>
      <c r="D92" s="13"/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13"/>
      <c r="D93" s="13"/>
      <c r="E93" s="13"/>
      <c r="F93" s="13"/>
      <c r="G93" s="1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13"/>
      <c r="D94" s="13"/>
      <c r="E94" s="13"/>
      <c r="F94" s="13"/>
      <c r="G94" s="1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13"/>
      <c r="D95" s="13"/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13"/>
      <c r="D96" s="13"/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13"/>
      <c r="D97" s="13"/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13"/>
      <c r="D98" s="13"/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13"/>
      <c r="D99" s="13"/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13"/>
      <c r="D100" s="13"/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13"/>
      <c r="D101" s="13"/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13"/>
      <c r="D102" s="13"/>
      <c r="E102" s="13"/>
      <c r="F102" s="13"/>
      <c r="G102" s="1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13"/>
      <c r="D103" s="13"/>
      <c r="E103" s="13"/>
      <c r="F103" s="13"/>
      <c r="G103" s="1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13"/>
      <c r="D104" s="13"/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13"/>
      <c r="D105" s="13"/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13"/>
      <c r="D106" s="13"/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13"/>
      <c r="D107" s="13"/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13"/>
      <c r="D108" s="13"/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13"/>
      <c r="D109" s="13"/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13"/>
      <c r="D110" s="13"/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13"/>
      <c r="D111" s="13"/>
      <c r="E111" s="13"/>
      <c r="F111" s="13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13"/>
      <c r="D112" s="13"/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13"/>
      <c r="D113" s="13"/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13"/>
      <c r="D114" s="13"/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13"/>
      <c r="D115" s="13"/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13"/>
      <c r="D116" s="13"/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13"/>
      <c r="D117" s="13"/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13"/>
      <c r="D118" s="13"/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13"/>
      <c r="D119" s="13"/>
      <c r="E119" s="13"/>
      <c r="F119" s="13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13"/>
      <c r="D120" s="13"/>
      <c r="E120" s="13"/>
      <c r="F120" s="13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13"/>
      <c r="D121" s="13"/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13"/>
      <c r="D122" s="13"/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13"/>
      <c r="D123" s="13"/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13"/>
      <c r="D124" s="13"/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13"/>
      <c r="D125" s="13"/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13"/>
      <c r="D126" s="13"/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13"/>
      <c r="D127" s="13"/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13"/>
      <c r="D128" s="13"/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13"/>
      <c r="D129" s="13"/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13"/>
      <c r="D130" s="13"/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13"/>
      <c r="D131" s="13"/>
      <c r="E131" s="13"/>
      <c r="F131" s="13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13"/>
      <c r="D132" s="13"/>
      <c r="E132" s="13"/>
      <c r="F132" s="13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13"/>
      <c r="D133" s="13"/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13"/>
      <c r="D134" s="13"/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13"/>
      <c r="D135" s="13"/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13"/>
      <c r="D136" s="13"/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13"/>
      <c r="D137" s="13"/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13"/>
      <c r="D138" s="13"/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13"/>
      <c r="D139" s="13"/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13"/>
      <c r="D140" s="13"/>
      <c r="E140" s="13"/>
      <c r="F140" s="13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13"/>
      <c r="D141" s="13"/>
      <c r="E141" s="13"/>
      <c r="F141" s="13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13"/>
      <c r="D142" s="13"/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13"/>
      <c r="D143" s="13"/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13"/>
      <c r="D144" s="13"/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13"/>
      <c r="D145" s="13"/>
      <c r="E145" s="13"/>
      <c r="F145" s="13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13"/>
      <c r="D146" s="13"/>
      <c r="E146" s="13"/>
      <c r="F146" s="13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13"/>
      <c r="D147" s="13"/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13"/>
      <c r="D148" s="13"/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13"/>
      <c r="D149" s="13"/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13"/>
      <c r="D150" s="13"/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13"/>
      <c r="D151" s="13"/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13"/>
      <c r="D152" s="13"/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13"/>
      <c r="D153" s="13"/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13"/>
      <c r="D154" s="13"/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13"/>
      <c r="D155" s="13"/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13"/>
      <c r="D156" s="13"/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13"/>
      <c r="D157" s="13"/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13"/>
      <c r="D158" s="13"/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13"/>
      <c r="D159" s="13"/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13"/>
      <c r="D160" s="13"/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13"/>
      <c r="D161" s="13"/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13"/>
      <c r="D162" s="13"/>
      <c r="E162" s="13"/>
      <c r="F162" s="13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13"/>
      <c r="D163" s="13"/>
      <c r="E163" s="13"/>
      <c r="F163" s="13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13"/>
      <c r="D164" s="13"/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13"/>
      <c r="D165" s="13"/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13"/>
      <c r="D166" s="13"/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13"/>
      <c r="D167" s="13"/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13"/>
      <c r="D168" s="13"/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13"/>
      <c r="D169" s="13"/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13"/>
      <c r="D170" s="13"/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13"/>
      <c r="D171" s="13"/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13"/>
      <c r="D172" s="13"/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13"/>
      <c r="D173" s="13"/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13"/>
      <c r="D174" s="13"/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13"/>
      <c r="D175" s="13"/>
      <c r="E175" s="13"/>
      <c r="F175" s="13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13"/>
      <c r="D176" s="13"/>
      <c r="E176" s="13"/>
      <c r="F176" s="13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13"/>
      <c r="D177" s="13"/>
      <c r="E177" s="13"/>
      <c r="F177" s="13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13"/>
      <c r="D178" s="13"/>
      <c r="E178" s="13"/>
      <c r="F178" s="13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13"/>
      <c r="D179" s="13"/>
      <c r="E179" s="13"/>
      <c r="F179" s="13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13"/>
      <c r="D180" s="13"/>
      <c r="E180" s="13"/>
      <c r="F180" s="13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13"/>
      <c r="D181" s="13"/>
      <c r="E181" s="13"/>
      <c r="F181" s="13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13"/>
      <c r="D182" s="13"/>
      <c r="E182" s="13"/>
      <c r="F182" s="13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13"/>
      <c r="D183" s="13"/>
      <c r="E183" s="13"/>
      <c r="F183" s="13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13"/>
      <c r="D184" s="13"/>
      <c r="E184" s="13"/>
      <c r="F184" s="13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13"/>
      <c r="D185" s="13"/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13"/>
      <c r="D186" s="13"/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13"/>
      <c r="D187" s="13"/>
      <c r="E187" s="13"/>
      <c r="F187" s="13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13"/>
      <c r="D188" s="13"/>
      <c r="E188" s="13"/>
      <c r="F188" s="13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13"/>
      <c r="D189" s="13"/>
      <c r="E189" s="13"/>
      <c r="F189" s="13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13"/>
      <c r="D190" s="13"/>
      <c r="E190" s="13"/>
      <c r="F190" s="13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13"/>
      <c r="D191" s="13"/>
      <c r="E191" s="13"/>
      <c r="F191" s="13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13"/>
      <c r="D192" s="13"/>
      <c r="E192" s="13"/>
      <c r="F192" s="13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13"/>
      <c r="D193" s="13"/>
      <c r="E193" s="13"/>
      <c r="F193" s="13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13"/>
      <c r="D194" s="13"/>
      <c r="E194" s="13"/>
      <c r="F194" s="13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13"/>
      <c r="D195" s="13"/>
      <c r="E195" s="13"/>
      <c r="F195" s="13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13"/>
      <c r="D196" s="13"/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13"/>
      <c r="D197" s="13"/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13"/>
      <c r="D198" s="13"/>
      <c r="E198" s="13"/>
      <c r="F198" s="13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13"/>
      <c r="D199" s="13"/>
      <c r="E199" s="13"/>
      <c r="F199" s="13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13"/>
      <c r="D200" s="13"/>
      <c r="E200" s="13"/>
      <c r="F200" s="13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13"/>
      <c r="D201" s="13"/>
      <c r="E201" s="13"/>
      <c r="F201" s="13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13"/>
      <c r="D202" s="13"/>
      <c r="E202" s="13"/>
      <c r="F202" s="13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13"/>
      <c r="D203" s="13"/>
      <c r="E203" s="13"/>
      <c r="F203" s="13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13"/>
      <c r="D204" s="13"/>
      <c r="E204" s="13"/>
      <c r="F204" s="13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13"/>
      <c r="D205" s="13"/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13"/>
      <c r="D206" s="13"/>
      <c r="E206" s="13"/>
      <c r="F206" s="13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13"/>
      <c r="D207" s="13"/>
      <c r="E207" s="13"/>
      <c r="F207" s="13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13"/>
      <c r="D208" s="13"/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13"/>
      <c r="D209" s="13"/>
      <c r="E209" s="13"/>
      <c r="F209" s="13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13"/>
      <c r="D210" s="13"/>
      <c r="E210" s="13"/>
      <c r="F210" s="13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13"/>
      <c r="D211" s="13"/>
      <c r="E211" s="13"/>
      <c r="F211" s="13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13"/>
      <c r="D212" s="13"/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13"/>
      <c r="D213" s="13"/>
      <c r="E213" s="13"/>
      <c r="F213" s="13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13"/>
      <c r="D214" s="13"/>
      <c r="E214" s="13"/>
      <c r="F214" s="13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13"/>
      <c r="D215" s="13"/>
      <c r="E215" s="13"/>
      <c r="F215" s="13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13"/>
      <c r="D216" s="13"/>
      <c r="E216" s="13"/>
      <c r="F216" s="13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13"/>
      <c r="D217" s="13"/>
      <c r="E217" s="13"/>
      <c r="F217" s="13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13"/>
      <c r="D218" s="13"/>
      <c r="E218" s="13"/>
      <c r="F218" s="13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13"/>
      <c r="D219" s="13"/>
      <c r="E219" s="13"/>
      <c r="F219" s="13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13"/>
      <c r="D220" s="13"/>
      <c r="E220" s="13"/>
      <c r="F220" s="13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13"/>
      <c r="D221" s="13"/>
      <c r="E221" s="13"/>
      <c r="F221" s="13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13"/>
      <c r="D222" s="13"/>
      <c r="E222" s="13"/>
      <c r="F222" s="13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13"/>
      <c r="D223" s="13"/>
      <c r="E223" s="13"/>
      <c r="F223" s="13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13"/>
      <c r="D224" s="13"/>
      <c r="E224" s="13"/>
      <c r="F224" s="13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13"/>
      <c r="D225" s="13"/>
      <c r="E225" s="13"/>
      <c r="F225" s="13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13"/>
      <c r="D226" s="13"/>
      <c r="E226" s="13"/>
      <c r="F226" s="13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13"/>
      <c r="D227" s="13"/>
      <c r="E227" s="13"/>
      <c r="F227" s="13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13"/>
      <c r="D228" s="13"/>
      <c r="E228" s="13"/>
      <c r="F228" s="13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13"/>
      <c r="D229" s="13"/>
      <c r="E229" s="13"/>
      <c r="F229" s="13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13"/>
      <c r="D230" s="13"/>
      <c r="E230" s="13"/>
      <c r="F230" s="13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13"/>
      <c r="D231" s="13"/>
      <c r="E231" s="13"/>
      <c r="F231" s="13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13"/>
      <c r="D232" s="13"/>
      <c r="E232" s="13"/>
      <c r="F232" s="13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13"/>
      <c r="D233" s="13"/>
      <c r="E233" s="13"/>
      <c r="F233" s="13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13"/>
      <c r="D234" s="13"/>
      <c r="E234" s="13"/>
      <c r="F234" s="13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13"/>
      <c r="D235" s="13"/>
      <c r="E235" s="13"/>
      <c r="F235" s="13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13"/>
      <c r="D236" s="13"/>
      <c r="E236" s="13"/>
      <c r="F236" s="13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13"/>
      <c r="D237" s="13"/>
      <c r="E237" s="13"/>
      <c r="F237" s="13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13"/>
      <c r="D238" s="13"/>
      <c r="E238" s="13"/>
      <c r="F238" s="13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13"/>
      <c r="D239" s="13"/>
      <c r="E239" s="13"/>
      <c r="F239" s="13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13"/>
      <c r="D240" s="13"/>
      <c r="E240" s="13"/>
      <c r="F240" s="13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13"/>
      <c r="D241" s="13"/>
      <c r="E241" s="13"/>
      <c r="F241" s="13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13"/>
      <c r="D242" s="13"/>
      <c r="E242" s="13"/>
      <c r="F242" s="13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13"/>
      <c r="D243" s="13"/>
      <c r="E243" s="13"/>
      <c r="F243" s="13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13"/>
      <c r="D244" s="13"/>
      <c r="E244" s="13"/>
      <c r="F244" s="13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13"/>
      <c r="D245" s="13"/>
      <c r="E245" s="13"/>
      <c r="F245" s="13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13"/>
      <c r="D246" s="13"/>
      <c r="E246" s="13"/>
      <c r="F246" s="13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13"/>
      <c r="D247" s="13"/>
      <c r="E247" s="13"/>
      <c r="F247" s="13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13"/>
      <c r="D248" s="13"/>
      <c r="E248" s="13"/>
      <c r="F248" s="13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13"/>
      <c r="D249" s="13"/>
      <c r="E249" s="13"/>
      <c r="F249" s="13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13"/>
      <c r="D250" s="13"/>
      <c r="E250" s="13"/>
      <c r="F250" s="13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13"/>
      <c r="D251" s="13"/>
      <c r="E251" s="13"/>
      <c r="F251" s="13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13"/>
      <c r="D252" s="13"/>
      <c r="E252" s="13"/>
      <c r="F252" s="13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13"/>
      <c r="D253" s="13"/>
      <c r="E253" s="13"/>
      <c r="F253" s="13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13"/>
      <c r="D254" s="13"/>
      <c r="E254" s="13"/>
      <c r="F254" s="13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13"/>
      <c r="D255" s="13"/>
      <c r="E255" s="13"/>
      <c r="F255" s="13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13"/>
      <c r="D256" s="13"/>
      <c r="E256" s="13"/>
      <c r="F256" s="13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13"/>
      <c r="D257" s="13"/>
      <c r="E257" s="13"/>
      <c r="F257" s="13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13"/>
      <c r="D258" s="13"/>
      <c r="E258" s="13"/>
      <c r="F258" s="13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13"/>
      <c r="D259" s="13"/>
      <c r="E259" s="13"/>
      <c r="F259" s="13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13"/>
      <c r="D260" s="13"/>
      <c r="E260" s="13"/>
      <c r="F260" s="13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13"/>
      <c r="D261" s="13"/>
      <c r="E261" s="13"/>
      <c r="F261" s="13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13"/>
      <c r="D262" s="13"/>
      <c r="E262" s="13"/>
      <c r="F262" s="13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13"/>
      <c r="D263" s="13"/>
      <c r="E263" s="13"/>
      <c r="F263" s="13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13"/>
      <c r="D264" s="13"/>
      <c r="E264" s="13"/>
      <c r="F264" s="13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13"/>
      <c r="D265" s="13"/>
      <c r="E265" s="13"/>
      <c r="F265" s="13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13"/>
      <c r="D266" s="13"/>
      <c r="E266" s="13"/>
      <c r="F266" s="13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13"/>
      <c r="D267" s="13"/>
      <c r="E267" s="13"/>
      <c r="F267" s="13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13"/>
      <c r="D268" s="13"/>
      <c r="E268" s="13"/>
      <c r="F268" s="13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13"/>
      <c r="D269" s="13"/>
      <c r="E269" s="13"/>
      <c r="F269" s="13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13"/>
      <c r="D270" s="13"/>
      <c r="E270" s="13"/>
      <c r="F270" s="13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13"/>
      <c r="D271" s="13"/>
      <c r="E271" s="13"/>
      <c r="F271" s="13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13"/>
      <c r="D272" s="13"/>
      <c r="E272" s="13"/>
      <c r="F272" s="13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13"/>
      <c r="D273" s="13"/>
      <c r="E273" s="13"/>
      <c r="F273" s="13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13"/>
      <c r="D274" s="13"/>
      <c r="E274" s="13"/>
      <c r="F274" s="13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13"/>
      <c r="D275" s="13"/>
      <c r="E275" s="13"/>
      <c r="F275" s="13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13"/>
      <c r="D276" s="13"/>
      <c r="E276" s="13"/>
      <c r="F276" s="13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13"/>
      <c r="D277" s="13"/>
      <c r="E277" s="13"/>
      <c r="F277" s="13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13"/>
      <c r="D278" s="13"/>
      <c r="E278" s="13"/>
      <c r="F278" s="13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13"/>
      <c r="D279" s="13"/>
      <c r="E279" s="13"/>
      <c r="F279" s="13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13"/>
      <c r="D280" s="13"/>
      <c r="E280" s="13"/>
      <c r="F280" s="13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13"/>
      <c r="D281" s="13"/>
      <c r="E281" s="13"/>
      <c r="F281" s="13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13"/>
      <c r="D282" s="13"/>
      <c r="E282" s="13"/>
      <c r="F282" s="13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13"/>
      <c r="D283" s="13"/>
      <c r="E283" s="13"/>
      <c r="F283" s="13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13"/>
      <c r="D284" s="13"/>
      <c r="E284" s="13"/>
      <c r="F284" s="13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13"/>
      <c r="D285" s="13"/>
      <c r="E285" s="13"/>
      <c r="F285" s="13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13"/>
      <c r="D286" s="13"/>
      <c r="E286" s="13"/>
      <c r="F286" s="13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13"/>
      <c r="D287" s="13"/>
      <c r="E287" s="13"/>
      <c r="F287" s="13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13"/>
      <c r="D288" s="13"/>
      <c r="E288" s="13"/>
      <c r="F288" s="13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13"/>
      <c r="D289" s="13"/>
      <c r="E289" s="13"/>
      <c r="F289" s="13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13"/>
      <c r="D290" s="13"/>
      <c r="E290" s="13"/>
      <c r="F290" s="13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13"/>
      <c r="D291" s="13"/>
      <c r="E291" s="13"/>
      <c r="F291" s="13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13"/>
      <c r="D292" s="13"/>
      <c r="E292" s="13"/>
      <c r="F292" s="13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13"/>
      <c r="D293" s="13"/>
      <c r="E293" s="13"/>
      <c r="F293" s="13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13"/>
      <c r="D294" s="13"/>
      <c r="E294" s="13"/>
      <c r="F294" s="13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13"/>
      <c r="D295" s="13"/>
      <c r="E295" s="13"/>
      <c r="F295" s="13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13"/>
      <c r="D296" s="13"/>
      <c r="E296" s="13"/>
      <c r="F296" s="13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13"/>
      <c r="D297" s="13"/>
      <c r="E297" s="13"/>
      <c r="F297" s="13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13"/>
      <c r="D298" s="13"/>
      <c r="E298" s="13"/>
      <c r="F298" s="13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13"/>
      <c r="D299" s="13"/>
      <c r="E299" s="13"/>
      <c r="F299" s="13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13"/>
      <c r="D300" s="13"/>
      <c r="E300" s="13"/>
      <c r="F300" s="13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13"/>
      <c r="D301" s="13"/>
      <c r="E301" s="13"/>
      <c r="F301" s="13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13"/>
      <c r="D302" s="13"/>
      <c r="E302" s="13"/>
      <c r="F302" s="13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13"/>
      <c r="D303" s="13"/>
      <c r="E303" s="13"/>
      <c r="F303" s="13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13"/>
      <c r="D304" s="13"/>
      <c r="E304" s="13"/>
      <c r="F304" s="13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13"/>
      <c r="D305" s="13"/>
      <c r="E305" s="13"/>
      <c r="F305" s="13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13"/>
      <c r="D306" s="13"/>
      <c r="E306" s="13"/>
      <c r="F306" s="13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13"/>
      <c r="D307" s="13"/>
      <c r="E307" s="13"/>
      <c r="F307" s="13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13"/>
      <c r="D308" s="13"/>
      <c r="E308" s="13"/>
      <c r="F308" s="13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13"/>
      <c r="D309" s="13"/>
      <c r="E309" s="13"/>
      <c r="F309" s="13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13"/>
      <c r="D310" s="13"/>
      <c r="E310" s="13"/>
      <c r="F310" s="13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13"/>
      <c r="D311" s="13"/>
      <c r="E311" s="13"/>
      <c r="F311" s="13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13"/>
      <c r="D312" s="13"/>
      <c r="E312" s="13"/>
      <c r="F312" s="13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13"/>
      <c r="D313" s="13"/>
      <c r="E313" s="13"/>
      <c r="F313" s="13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13"/>
      <c r="D314" s="13"/>
      <c r="E314" s="13"/>
      <c r="F314" s="13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13"/>
      <c r="D315" s="13"/>
      <c r="E315" s="13"/>
      <c r="F315" s="13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13"/>
      <c r="D316" s="13"/>
      <c r="E316" s="13"/>
      <c r="F316" s="13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13"/>
      <c r="D317" s="13"/>
      <c r="E317" s="13"/>
      <c r="F317" s="13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13"/>
      <c r="D318" s="13"/>
      <c r="E318" s="13"/>
      <c r="F318" s="13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13"/>
      <c r="D319" s="13"/>
      <c r="E319" s="13"/>
      <c r="F319" s="13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13"/>
      <c r="D320" s="13"/>
      <c r="E320" s="13"/>
      <c r="F320" s="13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13"/>
      <c r="D321" s="13"/>
      <c r="E321" s="13"/>
      <c r="F321" s="13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13"/>
      <c r="D322" s="13"/>
      <c r="E322" s="13"/>
      <c r="F322" s="13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13"/>
      <c r="D323" s="13"/>
      <c r="E323" s="13"/>
      <c r="F323" s="13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13"/>
      <c r="D324" s="13"/>
      <c r="E324" s="13"/>
      <c r="F324" s="13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13"/>
      <c r="D325" s="13"/>
      <c r="E325" s="13"/>
      <c r="F325" s="13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13"/>
      <c r="D326" s="13"/>
      <c r="E326" s="13"/>
      <c r="F326" s="13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13"/>
      <c r="D327" s="13"/>
      <c r="E327" s="13"/>
      <c r="F327" s="13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13"/>
      <c r="D328" s="13"/>
      <c r="E328" s="13"/>
      <c r="F328" s="13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13"/>
      <c r="D329" s="13"/>
      <c r="E329" s="13"/>
      <c r="F329" s="13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13"/>
      <c r="D330" s="13"/>
      <c r="E330" s="13"/>
      <c r="F330" s="13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13"/>
      <c r="D331" s="13"/>
      <c r="E331" s="13"/>
      <c r="F331" s="13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13"/>
      <c r="D332" s="13"/>
      <c r="E332" s="13"/>
      <c r="F332" s="13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13"/>
      <c r="D333" s="13"/>
      <c r="E333" s="13"/>
      <c r="F333" s="13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13"/>
      <c r="D334" s="13"/>
      <c r="E334" s="13"/>
      <c r="F334" s="13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13"/>
      <c r="D335" s="13"/>
      <c r="E335" s="13"/>
      <c r="F335" s="13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13"/>
      <c r="D336" s="13"/>
      <c r="E336" s="13"/>
      <c r="F336" s="13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13"/>
      <c r="D337" s="13"/>
      <c r="E337" s="13"/>
      <c r="F337" s="13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13"/>
      <c r="D338" s="13"/>
      <c r="E338" s="13"/>
      <c r="F338" s="13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13"/>
      <c r="D339" s="13"/>
      <c r="E339" s="13"/>
      <c r="F339" s="13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13"/>
      <c r="D340" s="13"/>
      <c r="E340" s="13"/>
      <c r="F340" s="13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13"/>
      <c r="D341" s="13"/>
      <c r="E341" s="13"/>
      <c r="F341" s="13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13"/>
      <c r="D342" s="13"/>
      <c r="E342" s="13"/>
      <c r="F342" s="13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13"/>
      <c r="D343" s="13"/>
      <c r="E343" s="13"/>
      <c r="F343" s="13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13"/>
      <c r="D344" s="13"/>
      <c r="E344" s="13"/>
      <c r="F344" s="13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13"/>
      <c r="D345" s="13"/>
      <c r="E345" s="13"/>
      <c r="F345" s="13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13"/>
      <c r="D346" s="13"/>
      <c r="E346" s="13"/>
      <c r="F346" s="13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13"/>
      <c r="D347" s="13"/>
      <c r="E347" s="13"/>
      <c r="F347" s="13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13"/>
      <c r="D348" s="13"/>
      <c r="E348" s="13"/>
      <c r="F348" s="13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13"/>
      <c r="D349" s="13"/>
      <c r="E349" s="13"/>
      <c r="F349" s="13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13"/>
      <c r="D350" s="13"/>
      <c r="E350" s="13"/>
      <c r="F350" s="13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13"/>
      <c r="D351" s="13"/>
      <c r="E351" s="13"/>
      <c r="F351" s="13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13"/>
      <c r="D352" s="13"/>
      <c r="E352" s="13"/>
      <c r="F352" s="13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13"/>
      <c r="D353" s="13"/>
      <c r="E353" s="13"/>
      <c r="F353" s="13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13"/>
      <c r="D354" s="13"/>
      <c r="E354" s="13"/>
      <c r="F354" s="13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13"/>
      <c r="D355" s="13"/>
      <c r="E355" s="13"/>
      <c r="F355" s="13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13"/>
      <c r="D356" s="13"/>
      <c r="E356" s="13"/>
      <c r="F356" s="13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13"/>
      <c r="D357" s="13"/>
      <c r="E357" s="13"/>
      <c r="F357" s="13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13"/>
      <c r="D358" s="13"/>
      <c r="E358" s="13"/>
      <c r="F358" s="13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13"/>
      <c r="D359" s="13"/>
      <c r="E359" s="13"/>
      <c r="F359" s="13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13"/>
      <c r="D360" s="13"/>
      <c r="E360" s="13"/>
      <c r="F360" s="13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13"/>
      <c r="D361" s="13"/>
      <c r="E361" s="13"/>
      <c r="F361" s="13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13"/>
      <c r="D362" s="13"/>
      <c r="E362" s="13"/>
      <c r="F362" s="13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13"/>
      <c r="D363" s="13"/>
      <c r="E363" s="13"/>
      <c r="F363" s="13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13"/>
      <c r="D364" s="13"/>
      <c r="E364" s="13"/>
      <c r="F364" s="13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13"/>
      <c r="D365" s="13"/>
      <c r="E365" s="13"/>
      <c r="F365" s="13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13"/>
      <c r="D366" s="13"/>
      <c r="E366" s="13"/>
      <c r="F366" s="13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13"/>
      <c r="D367" s="13"/>
      <c r="E367" s="13"/>
      <c r="F367" s="13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13"/>
      <c r="D368" s="13"/>
      <c r="E368" s="13"/>
      <c r="F368" s="13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13"/>
      <c r="D369" s="13"/>
      <c r="E369" s="13"/>
      <c r="F369" s="13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13"/>
      <c r="D370" s="13"/>
      <c r="E370" s="13"/>
      <c r="F370" s="13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13"/>
      <c r="D371" s="13"/>
      <c r="E371" s="13"/>
      <c r="F371" s="13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13"/>
      <c r="D372" s="13"/>
      <c r="E372" s="13"/>
      <c r="F372" s="13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13"/>
      <c r="D373" s="13"/>
      <c r="E373" s="13"/>
      <c r="F373" s="13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13"/>
      <c r="D374" s="13"/>
      <c r="E374" s="13"/>
      <c r="F374" s="13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13"/>
      <c r="D375" s="13"/>
      <c r="E375" s="13"/>
      <c r="F375" s="13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13"/>
      <c r="D376" s="13"/>
      <c r="E376" s="13"/>
      <c r="F376" s="13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13"/>
      <c r="D377" s="13"/>
      <c r="E377" s="13"/>
      <c r="F377" s="13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13"/>
      <c r="D378" s="13"/>
      <c r="E378" s="13"/>
      <c r="F378" s="13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13"/>
      <c r="D379" s="13"/>
      <c r="E379" s="13"/>
      <c r="F379" s="13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13"/>
      <c r="D380" s="13"/>
      <c r="E380" s="13"/>
      <c r="F380" s="13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13"/>
      <c r="D381" s="13"/>
      <c r="E381" s="13"/>
      <c r="F381" s="13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13"/>
      <c r="D382" s="13"/>
      <c r="E382" s="13"/>
      <c r="F382" s="13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13"/>
      <c r="D383" s="13"/>
      <c r="E383" s="13"/>
      <c r="F383" s="13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13"/>
      <c r="D384" s="13"/>
      <c r="E384" s="13"/>
      <c r="F384" s="13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13"/>
      <c r="D385" s="13"/>
      <c r="E385" s="13"/>
      <c r="F385" s="13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13"/>
      <c r="D386" s="13"/>
      <c r="E386" s="13"/>
      <c r="F386" s="13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13"/>
      <c r="D387" s="13"/>
      <c r="E387" s="13"/>
      <c r="F387" s="13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13"/>
      <c r="D388" s="13"/>
      <c r="E388" s="13"/>
      <c r="F388" s="13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13"/>
      <c r="D389" s="13"/>
      <c r="E389" s="13"/>
      <c r="F389" s="13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13"/>
      <c r="D390" s="13"/>
      <c r="E390" s="13"/>
      <c r="F390" s="13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13"/>
      <c r="D391" s="13"/>
      <c r="E391" s="13"/>
      <c r="F391" s="13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13"/>
      <c r="D392" s="13"/>
      <c r="E392" s="13"/>
      <c r="F392" s="13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13"/>
      <c r="D393" s="13"/>
      <c r="E393" s="13"/>
      <c r="F393" s="13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13"/>
      <c r="D394" s="13"/>
      <c r="E394" s="13"/>
      <c r="F394" s="13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13"/>
      <c r="D395" s="13"/>
      <c r="E395" s="13"/>
      <c r="F395" s="13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13"/>
      <c r="D396" s="13"/>
      <c r="E396" s="13"/>
      <c r="F396" s="13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13"/>
      <c r="D397" s="13"/>
      <c r="E397" s="13"/>
      <c r="F397" s="13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13"/>
      <c r="D398" s="13"/>
      <c r="E398" s="13"/>
      <c r="F398" s="13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13"/>
      <c r="D399" s="13"/>
      <c r="E399" s="13"/>
      <c r="F399" s="13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13"/>
      <c r="D400" s="13"/>
      <c r="E400" s="13"/>
      <c r="F400" s="13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13"/>
      <c r="D401" s="13"/>
      <c r="E401" s="13"/>
      <c r="F401" s="13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13"/>
      <c r="D402" s="13"/>
      <c r="E402" s="13"/>
      <c r="F402" s="13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13"/>
      <c r="D403" s="13"/>
      <c r="E403" s="13"/>
      <c r="F403" s="13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13"/>
      <c r="D404" s="13"/>
      <c r="E404" s="13"/>
      <c r="F404" s="13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13"/>
      <c r="D405" s="13"/>
      <c r="E405" s="13"/>
      <c r="F405" s="13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13"/>
      <c r="D406" s="13"/>
      <c r="E406" s="13"/>
      <c r="F406" s="13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13"/>
      <c r="D407" s="13"/>
      <c r="E407" s="13"/>
      <c r="F407" s="13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13"/>
      <c r="D408" s="13"/>
      <c r="E408" s="13"/>
      <c r="F408" s="13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13"/>
      <c r="D409" s="13"/>
      <c r="E409" s="13"/>
      <c r="F409" s="13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13"/>
      <c r="D410" s="13"/>
      <c r="E410" s="13"/>
      <c r="F410" s="13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13"/>
      <c r="D411" s="13"/>
      <c r="E411" s="13"/>
      <c r="F411" s="13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13"/>
      <c r="D412" s="13"/>
      <c r="E412" s="13"/>
      <c r="F412" s="13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13"/>
      <c r="D413" s="13"/>
      <c r="E413" s="13"/>
      <c r="F413" s="13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13"/>
      <c r="D414" s="13"/>
      <c r="E414" s="13"/>
      <c r="F414" s="13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13"/>
      <c r="D415" s="13"/>
      <c r="E415" s="13"/>
      <c r="F415" s="13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13"/>
      <c r="D416" s="13"/>
      <c r="E416" s="13"/>
      <c r="F416" s="13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13"/>
      <c r="D417" s="13"/>
      <c r="E417" s="13"/>
      <c r="F417" s="13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13"/>
      <c r="D418" s="13"/>
      <c r="E418" s="13"/>
      <c r="F418" s="13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13"/>
      <c r="D419" s="13"/>
      <c r="E419" s="13"/>
      <c r="F419" s="13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13"/>
      <c r="D420" s="13"/>
      <c r="E420" s="13"/>
      <c r="F420" s="13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13"/>
      <c r="D421" s="13"/>
      <c r="E421" s="13"/>
      <c r="F421" s="13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13"/>
      <c r="D422" s="13"/>
      <c r="E422" s="13"/>
      <c r="F422" s="13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13"/>
      <c r="D423" s="13"/>
      <c r="E423" s="13"/>
      <c r="F423" s="13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13"/>
      <c r="D424" s="13"/>
      <c r="E424" s="13"/>
      <c r="F424" s="13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13"/>
      <c r="D425" s="13"/>
      <c r="E425" s="13"/>
      <c r="F425" s="13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13"/>
      <c r="D426" s="13"/>
      <c r="E426" s="13"/>
      <c r="F426" s="13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13"/>
      <c r="D427" s="13"/>
      <c r="E427" s="13"/>
      <c r="F427" s="13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13"/>
      <c r="D428" s="13"/>
      <c r="E428" s="13"/>
      <c r="F428" s="13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13"/>
      <c r="D429" s="13"/>
      <c r="E429" s="13"/>
      <c r="F429" s="13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13"/>
      <c r="D430" s="13"/>
      <c r="E430" s="13"/>
      <c r="F430" s="13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13"/>
      <c r="D431" s="13"/>
      <c r="E431" s="13"/>
      <c r="F431" s="13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13"/>
      <c r="D432" s="13"/>
      <c r="E432" s="13"/>
      <c r="F432" s="13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13"/>
      <c r="D433" s="13"/>
      <c r="E433" s="13"/>
      <c r="F433" s="13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13"/>
      <c r="D434" s="13"/>
      <c r="E434" s="13"/>
      <c r="F434" s="13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13"/>
      <c r="D435" s="13"/>
      <c r="E435" s="13"/>
      <c r="F435" s="13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13"/>
      <c r="D436" s="13"/>
      <c r="E436" s="13"/>
      <c r="F436" s="13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13"/>
      <c r="D437" s="13"/>
      <c r="E437" s="13"/>
      <c r="F437" s="13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13"/>
      <c r="D438" s="13"/>
      <c r="E438" s="13"/>
      <c r="F438" s="13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13"/>
      <c r="D439" s="13"/>
      <c r="E439" s="13"/>
      <c r="F439" s="13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13"/>
      <c r="D440" s="13"/>
      <c r="E440" s="13"/>
      <c r="F440" s="13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13"/>
      <c r="D441" s="13"/>
      <c r="E441" s="13"/>
      <c r="F441" s="13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13"/>
      <c r="D442" s="13"/>
      <c r="E442" s="13"/>
      <c r="F442" s="13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13"/>
      <c r="D443" s="13"/>
      <c r="E443" s="13"/>
      <c r="F443" s="13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13"/>
      <c r="D444" s="13"/>
      <c r="E444" s="13"/>
      <c r="F444" s="13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13"/>
      <c r="D445" s="13"/>
      <c r="E445" s="13"/>
      <c r="F445" s="13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13"/>
      <c r="D446" s="13"/>
      <c r="E446" s="13"/>
      <c r="F446" s="13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13"/>
      <c r="D447" s="13"/>
      <c r="E447" s="13"/>
      <c r="F447" s="13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13"/>
      <c r="D448" s="13"/>
      <c r="E448" s="13"/>
      <c r="F448" s="13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13"/>
      <c r="D449" s="13"/>
      <c r="E449" s="13"/>
      <c r="F449" s="13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13"/>
      <c r="D450" s="13"/>
      <c r="E450" s="13"/>
      <c r="F450" s="13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13"/>
      <c r="D451" s="13"/>
      <c r="E451" s="13"/>
      <c r="F451" s="13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13"/>
      <c r="D452" s="13"/>
      <c r="E452" s="13"/>
      <c r="F452" s="13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13"/>
      <c r="D453" s="13"/>
      <c r="E453" s="13"/>
      <c r="F453" s="13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13"/>
      <c r="D454" s="13"/>
      <c r="E454" s="13"/>
      <c r="F454" s="13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13"/>
      <c r="D455" s="13"/>
      <c r="E455" s="13"/>
      <c r="F455" s="13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13"/>
      <c r="D456" s="13"/>
      <c r="E456" s="13"/>
      <c r="F456" s="13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13"/>
      <c r="D457" s="13"/>
      <c r="E457" s="13"/>
      <c r="F457" s="13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13"/>
      <c r="D458" s="13"/>
      <c r="E458" s="13"/>
      <c r="F458" s="13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13"/>
      <c r="D459" s="13"/>
      <c r="E459" s="13"/>
      <c r="F459" s="13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13"/>
      <c r="D460" s="13"/>
      <c r="E460" s="13"/>
      <c r="F460" s="13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13"/>
      <c r="D461" s="13"/>
      <c r="E461" s="13"/>
      <c r="F461" s="13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13"/>
      <c r="D462" s="13"/>
      <c r="E462" s="13"/>
      <c r="F462" s="13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13"/>
      <c r="D463" s="13"/>
      <c r="E463" s="13"/>
      <c r="F463" s="13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13"/>
      <c r="D464" s="13"/>
      <c r="E464" s="13"/>
      <c r="F464" s="13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13"/>
      <c r="D465" s="13"/>
      <c r="E465" s="13"/>
      <c r="F465" s="13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13"/>
      <c r="D466" s="13"/>
      <c r="E466" s="13"/>
      <c r="F466" s="13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13"/>
      <c r="D467" s="13"/>
      <c r="E467" s="13"/>
      <c r="F467" s="13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13"/>
      <c r="D468" s="13"/>
      <c r="E468" s="13"/>
      <c r="F468" s="13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13"/>
      <c r="D469" s="13"/>
      <c r="E469" s="13"/>
      <c r="F469" s="13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13"/>
      <c r="D470" s="13"/>
      <c r="E470" s="13"/>
      <c r="F470" s="13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13"/>
      <c r="D471" s="13"/>
      <c r="E471" s="13"/>
      <c r="F471" s="13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13"/>
      <c r="D472" s="13"/>
      <c r="E472" s="13"/>
      <c r="F472" s="13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13"/>
      <c r="D473" s="13"/>
      <c r="E473" s="13"/>
      <c r="F473" s="13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13"/>
      <c r="D474" s="13"/>
      <c r="E474" s="13"/>
      <c r="F474" s="13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13"/>
      <c r="D475" s="13"/>
      <c r="E475" s="13"/>
      <c r="F475" s="13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13"/>
      <c r="D476" s="13"/>
      <c r="E476" s="13"/>
      <c r="F476" s="13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13"/>
      <c r="D477" s="13"/>
      <c r="E477" s="13"/>
      <c r="F477" s="13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13"/>
      <c r="D478" s="13"/>
      <c r="E478" s="13"/>
      <c r="F478" s="13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13"/>
      <c r="D479" s="13"/>
      <c r="E479" s="13"/>
      <c r="F479" s="13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13"/>
      <c r="D480" s="13"/>
      <c r="E480" s="13"/>
      <c r="F480" s="13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13"/>
      <c r="D481" s="13"/>
      <c r="E481" s="13"/>
      <c r="F481" s="13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13"/>
      <c r="D482" s="13"/>
      <c r="E482" s="13"/>
      <c r="F482" s="13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13"/>
      <c r="D483" s="13"/>
      <c r="E483" s="13"/>
      <c r="F483" s="13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13"/>
      <c r="D484" s="13"/>
      <c r="E484" s="13"/>
      <c r="F484" s="13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13"/>
      <c r="D485" s="13"/>
      <c r="E485" s="13"/>
      <c r="F485" s="13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13"/>
      <c r="D486" s="13"/>
      <c r="E486" s="13"/>
      <c r="F486" s="13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13"/>
      <c r="D487" s="13"/>
      <c r="E487" s="13"/>
      <c r="F487" s="13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13"/>
      <c r="D488" s="13"/>
      <c r="E488" s="13"/>
      <c r="F488" s="13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13"/>
      <c r="D489" s="13"/>
      <c r="E489" s="13"/>
      <c r="F489" s="13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13"/>
      <c r="D490" s="13"/>
      <c r="E490" s="13"/>
      <c r="F490" s="13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13"/>
      <c r="D491" s="13"/>
      <c r="E491" s="13"/>
      <c r="F491" s="13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13"/>
      <c r="D492" s="13"/>
      <c r="E492" s="13"/>
      <c r="F492" s="13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13"/>
      <c r="D493" s="13"/>
      <c r="E493" s="13"/>
      <c r="F493" s="13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13"/>
      <c r="D494" s="13"/>
      <c r="E494" s="13"/>
      <c r="F494" s="13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13"/>
      <c r="D495" s="13"/>
      <c r="E495" s="13"/>
      <c r="F495" s="13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13"/>
      <c r="D496" s="13"/>
      <c r="E496" s="13"/>
      <c r="F496" s="13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13"/>
      <c r="D497" s="13"/>
      <c r="E497" s="13"/>
      <c r="F497" s="13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13"/>
      <c r="D498" s="13"/>
      <c r="E498" s="13"/>
      <c r="F498" s="13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13"/>
      <c r="D499" s="13"/>
      <c r="E499" s="13"/>
      <c r="F499" s="13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13"/>
      <c r="D500" s="13"/>
      <c r="E500" s="13"/>
      <c r="F500" s="13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13"/>
      <c r="D501" s="13"/>
      <c r="E501" s="13"/>
      <c r="F501" s="13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13"/>
      <c r="D502" s="13"/>
      <c r="E502" s="13"/>
      <c r="F502" s="13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13"/>
      <c r="D503" s="13"/>
      <c r="E503" s="13"/>
      <c r="F503" s="13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13"/>
      <c r="D504" s="13"/>
      <c r="E504" s="13"/>
      <c r="F504" s="13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13"/>
      <c r="D505" s="13"/>
      <c r="E505" s="13"/>
      <c r="F505" s="13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13"/>
      <c r="D506" s="13"/>
      <c r="E506" s="13"/>
      <c r="F506" s="13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13"/>
      <c r="D507" s="13"/>
      <c r="E507" s="13"/>
      <c r="F507" s="13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13"/>
      <c r="D508" s="13"/>
      <c r="E508" s="13"/>
      <c r="F508" s="13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13"/>
      <c r="D509" s="13"/>
      <c r="E509" s="13"/>
      <c r="F509" s="13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13"/>
      <c r="D510" s="13"/>
      <c r="E510" s="13"/>
      <c r="F510" s="13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13"/>
      <c r="D511" s="13"/>
      <c r="E511" s="13"/>
      <c r="F511" s="13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13"/>
      <c r="D512" s="13"/>
      <c r="E512" s="13"/>
      <c r="F512" s="13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13"/>
      <c r="D513" s="13"/>
      <c r="E513" s="13"/>
      <c r="F513" s="13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13"/>
      <c r="D514" s="13"/>
      <c r="E514" s="13"/>
      <c r="F514" s="13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13"/>
      <c r="D515" s="13"/>
      <c r="E515" s="13"/>
      <c r="F515" s="13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13"/>
      <c r="D516" s="13"/>
      <c r="E516" s="13"/>
      <c r="F516" s="13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13"/>
      <c r="D517" s="13"/>
      <c r="E517" s="13"/>
      <c r="F517" s="13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13"/>
      <c r="D518" s="13"/>
      <c r="E518" s="13"/>
      <c r="F518" s="13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13"/>
      <c r="D519" s="13"/>
      <c r="E519" s="13"/>
      <c r="F519" s="13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13"/>
      <c r="D520" s="13"/>
      <c r="E520" s="13"/>
      <c r="F520" s="13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13"/>
      <c r="D521" s="13"/>
      <c r="E521" s="13"/>
      <c r="F521" s="13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13"/>
      <c r="D522" s="13"/>
      <c r="E522" s="13"/>
      <c r="F522" s="13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13"/>
      <c r="D523" s="13"/>
      <c r="E523" s="13"/>
      <c r="F523" s="13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13"/>
      <c r="D524" s="13"/>
      <c r="E524" s="13"/>
      <c r="F524" s="13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13"/>
      <c r="D525" s="13"/>
      <c r="E525" s="13"/>
      <c r="F525" s="13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13"/>
      <c r="D526" s="13"/>
      <c r="E526" s="13"/>
      <c r="F526" s="13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13"/>
      <c r="D527" s="13"/>
      <c r="E527" s="13"/>
      <c r="F527" s="13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13"/>
      <c r="D528" s="13"/>
      <c r="E528" s="13"/>
      <c r="F528" s="13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13"/>
      <c r="D529" s="13"/>
      <c r="E529" s="13"/>
      <c r="F529" s="13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13"/>
      <c r="D530" s="13"/>
      <c r="E530" s="13"/>
      <c r="F530" s="13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13"/>
      <c r="D531" s="13"/>
      <c r="E531" s="13"/>
      <c r="F531" s="13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13"/>
      <c r="D532" s="13"/>
      <c r="E532" s="13"/>
      <c r="F532" s="13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13"/>
      <c r="D533" s="13"/>
      <c r="E533" s="13"/>
      <c r="F533" s="13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13"/>
      <c r="D534" s="13"/>
      <c r="E534" s="13"/>
      <c r="F534" s="13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13"/>
      <c r="D535" s="13"/>
      <c r="E535" s="13"/>
      <c r="F535" s="13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13"/>
      <c r="D536" s="13"/>
      <c r="E536" s="13"/>
      <c r="F536" s="13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13"/>
      <c r="D537" s="13"/>
      <c r="E537" s="13"/>
      <c r="F537" s="13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13"/>
      <c r="D538" s="13"/>
      <c r="E538" s="13"/>
      <c r="F538" s="13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13"/>
      <c r="D539" s="13"/>
      <c r="E539" s="13"/>
      <c r="F539" s="13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13"/>
      <c r="D540" s="13"/>
      <c r="E540" s="13"/>
      <c r="F540" s="13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13"/>
      <c r="D541" s="13"/>
      <c r="E541" s="13"/>
      <c r="F541" s="13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13"/>
      <c r="D542" s="13"/>
      <c r="E542" s="13"/>
      <c r="F542" s="13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13"/>
      <c r="D543" s="13"/>
      <c r="E543" s="13"/>
      <c r="F543" s="13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13"/>
      <c r="D544" s="13"/>
      <c r="E544" s="13"/>
      <c r="F544" s="13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13"/>
      <c r="D545" s="13"/>
      <c r="E545" s="13"/>
      <c r="F545" s="13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13"/>
      <c r="D546" s="13"/>
      <c r="E546" s="13"/>
      <c r="F546" s="13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13"/>
      <c r="D547" s="13"/>
      <c r="E547" s="13"/>
      <c r="F547" s="13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13"/>
      <c r="D548" s="13"/>
      <c r="E548" s="13"/>
      <c r="F548" s="13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13"/>
      <c r="D549" s="13"/>
      <c r="E549" s="13"/>
      <c r="F549" s="13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13"/>
      <c r="D550" s="13"/>
      <c r="E550" s="13"/>
      <c r="F550" s="13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13"/>
      <c r="D551" s="13"/>
      <c r="E551" s="13"/>
      <c r="F551" s="13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13"/>
      <c r="D552" s="13"/>
      <c r="E552" s="13"/>
      <c r="F552" s="13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13"/>
      <c r="D553" s="13"/>
      <c r="E553" s="13"/>
      <c r="F553" s="13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13"/>
      <c r="D554" s="13"/>
      <c r="E554" s="13"/>
      <c r="F554" s="13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13"/>
      <c r="D555" s="13"/>
      <c r="E555" s="13"/>
      <c r="F555" s="13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13"/>
      <c r="D556" s="13"/>
      <c r="E556" s="13"/>
      <c r="F556" s="13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13"/>
      <c r="D557" s="13"/>
      <c r="E557" s="13"/>
      <c r="F557" s="13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13"/>
      <c r="D558" s="13"/>
      <c r="E558" s="13"/>
      <c r="F558" s="13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13"/>
      <c r="D559" s="13"/>
      <c r="E559" s="13"/>
      <c r="F559" s="13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13"/>
      <c r="D560" s="13"/>
      <c r="E560" s="13"/>
      <c r="F560" s="13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13"/>
      <c r="D561" s="13"/>
      <c r="E561" s="13"/>
      <c r="F561" s="13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13"/>
      <c r="D562" s="13"/>
      <c r="E562" s="13"/>
      <c r="F562" s="13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13"/>
      <c r="D563" s="13"/>
      <c r="E563" s="13"/>
      <c r="F563" s="13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13"/>
      <c r="D564" s="13"/>
      <c r="E564" s="13"/>
      <c r="F564" s="13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13"/>
      <c r="D565" s="13"/>
      <c r="E565" s="13"/>
      <c r="F565" s="13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13"/>
      <c r="D566" s="13"/>
      <c r="E566" s="13"/>
      <c r="F566" s="13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13"/>
      <c r="D567" s="13"/>
      <c r="E567" s="13"/>
      <c r="F567" s="13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13"/>
      <c r="D568" s="13"/>
      <c r="E568" s="13"/>
      <c r="F568" s="13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13"/>
      <c r="D569" s="13"/>
      <c r="E569" s="13"/>
      <c r="F569" s="13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13"/>
      <c r="D570" s="13"/>
      <c r="E570" s="13"/>
      <c r="F570" s="13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13"/>
      <c r="D571" s="13"/>
      <c r="E571" s="13"/>
      <c r="F571" s="13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13"/>
      <c r="D572" s="13"/>
      <c r="E572" s="13"/>
      <c r="F572" s="13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13"/>
      <c r="D573" s="13"/>
      <c r="E573" s="13"/>
      <c r="F573" s="13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13"/>
      <c r="D574" s="13"/>
      <c r="E574" s="13"/>
      <c r="F574" s="13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13"/>
      <c r="D575" s="13"/>
      <c r="E575" s="13"/>
      <c r="F575" s="13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13"/>
      <c r="D576" s="13"/>
      <c r="E576" s="13"/>
      <c r="F576" s="13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13"/>
      <c r="D577" s="13"/>
      <c r="E577" s="13"/>
      <c r="F577" s="13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13"/>
      <c r="D578" s="13"/>
      <c r="E578" s="13"/>
      <c r="F578" s="13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13"/>
      <c r="D579" s="13"/>
      <c r="E579" s="13"/>
      <c r="F579" s="13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13"/>
      <c r="D580" s="13"/>
      <c r="E580" s="13"/>
      <c r="F580" s="13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13"/>
      <c r="D581" s="13"/>
      <c r="E581" s="13"/>
      <c r="F581" s="13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13"/>
      <c r="D582" s="13"/>
      <c r="E582" s="13"/>
      <c r="F582" s="13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13"/>
      <c r="D583" s="13"/>
      <c r="E583" s="13"/>
      <c r="F583" s="13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13"/>
      <c r="D584" s="13"/>
      <c r="E584" s="13"/>
      <c r="F584" s="13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13"/>
      <c r="D585" s="13"/>
      <c r="E585" s="13"/>
      <c r="F585" s="13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13"/>
      <c r="D586" s="13"/>
      <c r="E586" s="13"/>
      <c r="F586" s="13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13"/>
      <c r="D587" s="13"/>
      <c r="E587" s="13"/>
      <c r="F587" s="13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13"/>
      <c r="D588" s="13"/>
      <c r="E588" s="13"/>
      <c r="F588" s="13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13"/>
      <c r="D589" s="13"/>
      <c r="E589" s="13"/>
      <c r="F589" s="13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13"/>
      <c r="D590" s="13"/>
      <c r="E590" s="13"/>
      <c r="F590" s="13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13"/>
      <c r="D591" s="13"/>
      <c r="E591" s="13"/>
      <c r="F591" s="13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13"/>
      <c r="D592" s="13"/>
      <c r="E592" s="13"/>
      <c r="F592" s="13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13"/>
      <c r="D593" s="13"/>
      <c r="E593" s="13"/>
      <c r="F593" s="13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13"/>
      <c r="D594" s="13"/>
      <c r="E594" s="13"/>
      <c r="F594" s="13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13"/>
      <c r="D595" s="13"/>
      <c r="E595" s="13"/>
      <c r="F595" s="13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13"/>
      <c r="D596" s="13"/>
      <c r="E596" s="13"/>
      <c r="F596" s="13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13"/>
      <c r="D597" s="13"/>
      <c r="E597" s="13"/>
      <c r="F597" s="13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13"/>
      <c r="D598" s="13"/>
      <c r="E598" s="13"/>
      <c r="F598" s="13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13"/>
      <c r="D599" s="13"/>
      <c r="E599" s="13"/>
      <c r="F599" s="13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13"/>
      <c r="D600" s="13"/>
      <c r="E600" s="13"/>
      <c r="F600" s="13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13"/>
      <c r="D601" s="13"/>
      <c r="E601" s="13"/>
      <c r="F601" s="13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13"/>
      <c r="D602" s="13"/>
      <c r="E602" s="13"/>
      <c r="F602" s="13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13"/>
      <c r="D603" s="13"/>
      <c r="E603" s="13"/>
      <c r="F603" s="13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13"/>
      <c r="D604" s="13"/>
      <c r="E604" s="13"/>
      <c r="F604" s="13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13"/>
      <c r="D605" s="13"/>
      <c r="E605" s="13"/>
      <c r="F605" s="13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13"/>
      <c r="D606" s="13"/>
      <c r="E606" s="13"/>
      <c r="F606" s="13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13"/>
      <c r="D607" s="13"/>
      <c r="E607" s="13"/>
      <c r="F607" s="13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13"/>
      <c r="D608" s="13"/>
      <c r="E608" s="13"/>
      <c r="F608" s="13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13"/>
      <c r="D609" s="13"/>
      <c r="E609" s="13"/>
      <c r="F609" s="13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13"/>
      <c r="D610" s="13"/>
      <c r="E610" s="13"/>
      <c r="F610" s="13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13"/>
      <c r="D611" s="13"/>
      <c r="E611" s="13"/>
      <c r="F611" s="13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13"/>
      <c r="D612" s="13"/>
      <c r="E612" s="13"/>
      <c r="F612" s="13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13"/>
      <c r="D613" s="13"/>
      <c r="E613" s="13"/>
      <c r="F613" s="13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13"/>
      <c r="D614" s="13"/>
      <c r="E614" s="13"/>
      <c r="F614" s="13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13"/>
      <c r="D615" s="13"/>
      <c r="E615" s="13"/>
      <c r="F615" s="13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13"/>
      <c r="D616" s="13"/>
      <c r="E616" s="13"/>
      <c r="F616" s="13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13"/>
      <c r="D617" s="13"/>
      <c r="E617" s="13"/>
      <c r="F617" s="13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13"/>
      <c r="D618" s="13"/>
      <c r="E618" s="13"/>
      <c r="F618" s="13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13"/>
      <c r="D619" s="13"/>
      <c r="E619" s="13"/>
      <c r="F619" s="13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13"/>
      <c r="D620" s="13"/>
      <c r="E620" s="13"/>
      <c r="F620" s="13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13"/>
      <c r="D621" s="13"/>
      <c r="E621" s="13"/>
      <c r="F621" s="13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13"/>
      <c r="D622" s="13"/>
      <c r="E622" s="13"/>
      <c r="F622" s="13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13"/>
      <c r="D623" s="13"/>
      <c r="E623" s="13"/>
      <c r="F623" s="13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13"/>
      <c r="D624" s="13"/>
      <c r="E624" s="13"/>
      <c r="F624" s="13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13"/>
      <c r="D625" s="13"/>
      <c r="E625" s="13"/>
      <c r="F625" s="13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13"/>
      <c r="D626" s="13"/>
      <c r="E626" s="13"/>
      <c r="F626" s="13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13"/>
      <c r="D627" s="13"/>
      <c r="E627" s="13"/>
      <c r="F627" s="13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13"/>
      <c r="D628" s="13"/>
      <c r="E628" s="13"/>
      <c r="F628" s="13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13"/>
      <c r="D629" s="13"/>
      <c r="E629" s="13"/>
      <c r="F629" s="13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13"/>
      <c r="D630" s="13"/>
      <c r="E630" s="13"/>
      <c r="F630" s="13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13"/>
      <c r="D631" s="13"/>
      <c r="E631" s="13"/>
      <c r="F631" s="13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13"/>
      <c r="D632" s="13"/>
      <c r="E632" s="13"/>
      <c r="F632" s="13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13"/>
      <c r="D633" s="13"/>
      <c r="E633" s="13"/>
      <c r="F633" s="13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13"/>
      <c r="D634" s="13"/>
      <c r="E634" s="13"/>
      <c r="F634" s="13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13"/>
      <c r="D635" s="13"/>
      <c r="E635" s="13"/>
      <c r="F635" s="13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13"/>
      <c r="D636" s="13"/>
      <c r="E636" s="13"/>
      <c r="F636" s="13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13"/>
      <c r="D637" s="13"/>
      <c r="E637" s="13"/>
      <c r="F637" s="13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13"/>
      <c r="D638" s="13"/>
      <c r="E638" s="13"/>
      <c r="F638" s="13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13"/>
      <c r="D639" s="13"/>
      <c r="E639" s="13"/>
      <c r="F639" s="13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13"/>
      <c r="D640" s="13"/>
      <c r="E640" s="13"/>
      <c r="F640" s="13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13"/>
      <c r="D641" s="13"/>
      <c r="E641" s="13"/>
      <c r="F641" s="13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13"/>
      <c r="D642" s="13"/>
      <c r="E642" s="13"/>
      <c r="F642" s="13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13"/>
      <c r="D643" s="13"/>
      <c r="E643" s="13"/>
      <c r="F643" s="13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13"/>
      <c r="D644" s="13"/>
      <c r="E644" s="13"/>
      <c r="F644" s="13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13"/>
      <c r="D645" s="13"/>
      <c r="E645" s="13"/>
      <c r="F645" s="13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13"/>
      <c r="D646" s="13"/>
      <c r="E646" s="13"/>
      <c r="F646" s="13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13"/>
      <c r="D647" s="13"/>
      <c r="E647" s="13"/>
      <c r="F647" s="13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13"/>
      <c r="D648" s="13"/>
      <c r="E648" s="13"/>
      <c r="F648" s="13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13"/>
      <c r="D649" s="13"/>
      <c r="E649" s="13"/>
      <c r="F649" s="13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13"/>
      <c r="D650" s="13"/>
      <c r="E650" s="13"/>
      <c r="F650" s="13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13"/>
      <c r="D651" s="13"/>
      <c r="E651" s="13"/>
      <c r="F651" s="13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13"/>
      <c r="D652" s="13"/>
      <c r="E652" s="13"/>
      <c r="F652" s="13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13"/>
      <c r="D653" s="13"/>
      <c r="E653" s="13"/>
      <c r="F653" s="13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13"/>
      <c r="D654" s="13"/>
      <c r="E654" s="13"/>
      <c r="F654" s="13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13"/>
      <c r="D655" s="13"/>
      <c r="E655" s="13"/>
      <c r="F655" s="13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13"/>
      <c r="D656" s="13"/>
      <c r="E656" s="13"/>
      <c r="F656" s="13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13"/>
      <c r="D657" s="13"/>
      <c r="E657" s="13"/>
      <c r="F657" s="13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13"/>
      <c r="D658" s="13"/>
      <c r="E658" s="13"/>
      <c r="F658" s="13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13"/>
      <c r="D659" s="13"/>
      <c r="E659" s="13"/>
      <c r="F659" s="13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13"/>
      <c r="D660" s="13"/>
      <c r="E660" s="13"/>
      <c r="F660" s="13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13"/>
      <c r="D661" s="13"/>
      <c r="E661" s="13"/>
      <c r="F661" s="13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13"/>
      <c r="D662" s="13"/>
      <c r="E662" s="13"/>
      <c r="F662" s="13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13"/>
      <c r="D663" s="13"/>
      <c r="E663" s="13"/>
      <c r="F663" s="13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13"/>
      <c r="D664" s="13"/>
      <c r="E664" s="13"/>
      <c r="F664" s="13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13"/>
      <c r="D665" s="13"/>
      <c r="E665" s="13"/>
      <c r="F665" s="13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13"/>
      <c r="D666" s="13"/>
      <c r="E666" s="13"/>
      <c r="F666" s="13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13"/>
      <c r="D667" s="13"/>
      <c r="E667" s="13"/>
      <c r="F667" s="13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13"/>
      <c r="D668" s="13"/>
      <c r="E668" s="13"/>
      <c r="F668" s="13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13"/>
      <c r="D669" s="13"/>
      <c r="E669" s="13"/>
      <c r="F669" s="13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13"/>
      <c r="D670" s="13"/>
      <c r="E670" s="13"/>
      <c r="F670" s="13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13"/>
      <c r="D671" s="13"/>
      <c r="E671" s="13"/>
      <c r="F671" s="13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13"/>
      <c r="D672" s="13"/>
      <c r="E672" s="13"/>
      <c r="F672" s="13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13"/>
      <c r="D673" s="13"/>
      <c r="E673" s="13"/>
      <c r="F673" s="13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13"/>
      <c r="D674" s="13"/>
      <c r="E674" s="13"/>
      <c r="F674" s="13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13"/>
      <c r="D675" s="13"/>
      <c r="E675" s="13"/>
      <c r="F675" s="13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13"/>
      <c r="D676" s="13"/>
      <c r="E676" s="13"/>
      <c r="F676" s="13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13"/>
      <c r="D677" s="13"/>
      <c r="E677" s="13"/>
      <c r="F677" s="13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13"/>
      <c r="D678" s="13"/>
      <c r="E678" s="13"/>
      <c r="F678" s="13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13"/>
      <c r="D679" s="13"/>
      <c r="E679" s="13"/>
      <c r="F679" s="13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13"/>
      <c r="D680" s="13"/>
      <c r="E680" s="13"/>
      <c r="F680" s="13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13"/>
      <c r="D681" s="13"/>
      <c r="E681" s="13"/>
      <c r="F681" s="13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13"/>
      <c r="D682" s="13"/>
      <c r="E682" s="13"/>
      <c r="F682" s="13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13"/>
      <c r="D683" s="13"/>
      <c r="E683" s="13"/>
      <c r="F683" s="13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13"/>
      <c r="D684" s="13"/>
      <c r="E684" s="13"/>
      <c r="F684" s="13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13"/>
      <c r="D685" s="13"/>
      <c r="E685" s="13"/>
      <c r="F685" s="13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13"/>
      <c r="D686" s="13"/>
      <c r="E686" s="13"/>
      <c r="F686" s="13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13"/>
      <c r="D687" s="13"/>
      <c r="E687" s="13"/>
      <c r="F687" s="13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13"/>
      <c r="D688" s="13"/>
      <c r="E688" s="13"/>
      <c r="F688" s="13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13"/>
      <c r="D689" s="13"/>
      <c r="E689" s="13"/>
      <c r="F689" s="13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13"/>
      <c r="D690" s="13"/>
      <c r="E690" s="13"/>
      <c r="F690" s="13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13"/>
      <c r="D691" s="13"/>
      <c r="E691" s="13"/>
      <c r="F691" s="13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13"/>
      <c r="D692" s="13"/>
      <c r="E692" s="13"/>
      <c r="F692" s="13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13"/>
      <c r="D693" s="13"/>
      <c r="E693" s="13"/>
      <c r="F693" s="13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13"/>
      <c r="D694" s="13"/>
      <c r="E694" s="13"/>
      <c r="F694" s="13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13"/>
      <c r="D695" s="13"/>
      <c r="E695" s="13"/>
      <c r="F695" s="13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13"/>
      <c r="D696" s="13"/>
      <c r="E696" s="13"/>
      <c r="F696" s="13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13"/>
      <c r="D697" s="13"/>
      <c r="E697" s="13"/>
      <c r="F697" s="13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13"/>
      <c r="D698" s="13"/>
      <c r="E698" s="13"/>
      <c r="F698" s="13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13"/>
      <c r="D699" s="13"/>
      <c r="E699" s="13"/>
      <c r="F699" s="13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13"/>
      <c r="D700" s="13"/>
      <c r="E700" s="13"/>
      <c r="F700" s="13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13"/>
      <c r="D701" s="13"/>
      <c r="E701" s="13"/>
      <c r="F701" s="13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13"/>
      <c r="D702" s="13"/>
      <c r="E702" s="13"/>
      <c r="F702" s="13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13"/>
      <c r="D703" s="13"/>
      <c r="E703" s="13"/>
      <c r="F703" s="13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13"/>
      <c r="D704" s="13"/>
      <c r="E704" s="13"/>
      <c r="F704" s="13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13"/>
      <c r="D705" s="13"/>
      <c r="E705" s="13"/>
      <c r="F705" s="13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13"/>
      <c r="D706" s="13"/>
      <c r="E706" s="13"/>
      <c r="F706" s="13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13"/>
      <c r="D707" s="13"/>
      <c r="E707" s="13"/>
      <c r="F707" s="13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13"/>
      <c r="D708" s="13"/>
      <c r="E708" s="13"/>
      <c r="F708" s="13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13"/>
      <c r="D709" s="13"/>
      <c r="E709" s="13"/>
      <c r="F709" s="13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13"/>
      <c r="D710" s="13"/>
      <c r="E710" s="13"/>
      <c r="F710" s="13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13"/>
      <c r="D711" s="13"/>
      <c r="E711" s="13"/>
      <c r="F711" s="13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13"/>
      <c r="D712" s="13"/>
      <c r="E712" s="13"/>
      <c r="F712" s="13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13"/>
      <c r="D713" s="13"/>
      <c r="E713" s="13"/>
      <c r="F713" s="13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13"/>
      <c r="D714" s="13"/>
      <c r="E714" s="13"/>
      <c r="F714" s="13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13"/>
      <c r="D715" s="13"/>
      <c r="E715" s="13"/>
      <c r="F715" s="13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13"/>
      <c r="D716" s="13"/>
      <c r="E716" s="13"/>
      <c r="F716" s="13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13"/>
      <c r="D717" s="13"/>
      <c r="E717" s="13"/>
      <c r="F717" s="13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13"/>
      <c r="D718" s="13"/>
      <c r="E718" s="13"/>
      <c r="F718" s="13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13"/>
      <c r="D719" s="13"/>
      <c r="E719" s="13"/>
      <c r="F719" s="13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13"/>
      <c r="D720" s="13"/>
      <c r="E720" s="13"/>
      <c r="F720" s="13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13"/>
      <c r="D721" s="13"/>
      <c r="E721" s="13"/>
      <c r="F721" s="13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13"/>
      <c r="D722" s="13"/>
      <c r="E722" s="13"/>
      <c r="F722" s="13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13"/>
      <c r="D723" s="13"/>
      <c r="E723" s="13"/>
      <c r="F723" s="13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13"/>
      <c r="D724" s="13"/>
      <c r="E724" s="13"/>
      <c r="F724" s="13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13"/>
      <c r="D725" s="13"/>
      <c r="E725" s="13"/>
      <c r="F725" s="13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13"/>
      <c r="D726" s="13"/>
      <c r="E726" s="13"/>
      <c r="F726" s="13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13"/>
      <c r="D727" s="13"/>
      <c r="E727" s="13"/>
      <c r="F727" s="13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13"/>
      <c r="D728" s="13"/>
      <c r="E728" s="13"/>
      <c r="F728" s="13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13"/>
      <c r="D729" s="13"/>
      <c r="E729" s="13"/>
      <c r="F729" s="13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13"/>
      <c r="D730" s="13"/>
      <c r="E730" s="13"/>
      <c r="F730" s="13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13"/>
      <c r="D731" s="13"/>
      <c r="E731" s="13"/>
      <c r="F731" s="13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13"/>
      <c r="D732" s="13"/>
      <c r="E732" s="13"/>
      <c r="F732" s="13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13"/>
      <c r="D733" s="13"/>
      <c r="E733" s="13"/>
      <c r="F733" s="13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13"/>
      <c r="D734" s="13"/>
      <c r="E734" s="13"/>
      <c r="F734" s="13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13"/>
      <c r="D735" s="13"/>
      <c r="E735" s="13"/>
      <c r="F735" s="13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13"/>
      <c r="D736" s="13"/>
      <c r="E736" s="13"/>
      <c r="F736" s="13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13"/>
      <c r="D737" s="13"/>
      <c r="E737" s="13"/>
      <c r="F737" s="13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13"/>
      <c r="D738" s="13"/>
      <c r="E738" s="13"/>
      <c r="F738" s="13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13"/>
      <c r="D739" s="13"/>
      <c r="E739" s="13"/>
      <c r="F739" s="13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13"/>
      <c r="D740" s="13"/>
      <c r="E740" s="13"/>
      <c r="F740" s="13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13"/>
      <c r="D741" s="13"/>
      <c r="E741" s="13"/>
      <c r="F741" s="13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13"/>
      <c r="D742" s="13"/>
      <c r="E742" s="13"/>
      <c r="F742" s="13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13"/>
      <c r="D743" s="13"/>
      <c r="E743" s="13"/>
      <c r="F743" s="13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13"/>
      <c r="D744" s="13"/>
      <c r="E744" s="13"/>
      <c r="F744" s="13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13"/>
      <c r="D745" s="13"/>
      <c r="E745" s="13"/>
      <c r="F745" s="13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13"/>
      <c r="D746" s="13"/>
      <c r="E746" s="13"/>
      <c r="F746" s="13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13"/>
      <c r="D747" s="13"/>
      <c r="E747" s="13"/>
      <c r="F747" s="13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13"/>
      <c r="D748" s="13"/>
      <c r="E748" s="13"/>
      <c r="F748" s="13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13"/>
      <c r="D749" s="13"/>
      <c r="E749" s="13"/>
      <c r="F749" s="13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13"/>
      <c r="D750" s="13"/>
      <c r="E750" s="13"/>
      <c r="F750" s="13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13"/>
      <c r="D751" s="13"/>
      <c r="E751" s="13"/>
      <c r="F751" s="13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13"/>
      <c r="D752" s="13"/>
      <c r="E752" s="13"/>
      <c r="F752" s="13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13"/>
      <c r="D753" s="13"/>
      <c r="E753" s="13"/>
      <c r="F753" s="13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13"/>
      <c r="D754" s="13"/>
      <c r="E754" s="13"/>
      <c r="F754" s="13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13"/>
      <c r="D755" s="13"/>
      <c r="E755" s="13"/>
      <c r="F755" s="13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13"/>
      <c r="D756" s="13"/>
      <c r="E756" s="13"/>
      <c r="F756" s="13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13"/>
      <c r="D757" s="13"/>
      <c r="E757" s="13"/>
      <c r="F757" s="13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13"/>
      <c r="D758" s="13"/>
      <c r="E758" s="13"/>
      <c r="F758" s="13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13"/>
      <c r="D759" s="13"/>
      <c r="E759" s="13"/>
      <c r="F759" s="13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13"/>
      <c r="D760" s="13"/>
      <c r="E760" s="13"/>
      <c r="F760" s="13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13"/>
      <c r="D761" s="13"/>
      <c r="E761" s="13"/>
      <c r="F761" s="13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13"/>
      <c r="D762" s="13"/>
      <c r="E762" s="13"/>
      <c r="F762" s="13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13"/>
      <c r="D763" s="13"/>
      <c r="E763" s="13"/>
      <c r="F763" s="13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13"/>
      <c r="D764" s="13"/>
      <c r="E764" s="13"/>
      <c r="F764" s="13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13"/>
      <c r="D765" s="13"/>
      <c r="E765" s="13"/>
      <c r="F765" s="13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13"/>
      <c r="D766" s="13"/>
      <c r="E766" s="13"/>
      <c r="F766" s="13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13"/>
      <c r="D767" s="13"/>
      <c r="E767" s="13"/>
      <c r="F767" s="13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13"/>
      <c r="D768" s="13"/>
      <c r="E768" s="13"/>
      <c r="F768" s="13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13"/>
      <c r="D769" s="13"/>
      <c r="E769" s="13"/>
      <c r="F769" s="13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13"/>
      <c r="D770" s="13"/>
      <c r="E770" s="13"/>
      <c r="F770" s="13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13"/>
      <c r="D771" s="13"/>
      <c r="E771" s="13"/>
      <c r="F771" s="13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13"/>
      <c r="D772" s="13"/>
      <c r="E772" s="13"/>
      <c r="F772" s="13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13"/>
      <c r="D773" s="13"/>
      <c r="E773" s="13"/>
      <c r="F773" s="13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13"/>
      <c r="D774" s="13"/>
      <c r="E774" s="13"/>
      <c r="F774" s="13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13"/>
      <c r="D775" s="13"/>
      <c r="E775" s="13"/>
      <c r="F775" s="13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13"/>
      <c r="D776" s="13"/>
      <c r="E776" s="13"/>
      <c r="F776" s="13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13"/>
      <c r="D777" s="13"/>
      <c r="E777" s="13"/>
      <c r="F777" s="13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13"/>
      <c r="D778" s="13"/>
      <c r="E778" s="13"/>
      <c r="F778" s="13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13"/>
      <c r="D779" s="13"/>
      <c r="E779" s="13"/>
      <c r="F779" s="13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13"/>
      <c r="D780" s="13"/>
      <c r="E780" s="13"/>
      <c r="F780" s="13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13"/>
      <c r="D781" s="13"/>
      <c r="E781" s="13"/>
      <c r="F781" s="13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13"/>
      <c r="D782" s="13"/>
      <c r="E782" s="13"/>
      <c r="F782" s="13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13"/>
      <c r="D783" s="13"/>
      <c r="E783" s="13"/>
      <c r="F783" s="13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13"/>
      <c r="D784" s="13"/>
      <c r="E784" s="13"/>
      <c r="F784" s="13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13"/>
      <c r="D785" s="13"/>
      <c r="E785" s="13"/>
      <c r="F785" s="13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13"/>
      <c r="D786" s="13"/>
      <c r="E786" s="13"/>
      <c r="F786" s="13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13"/>
      <c r="D787" s="13"/>
      <c r="E787" s="13"/>
      <c r="F787" s="13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13"/>
      <c r="D788" s="13"/>
      <c r="E788" s="13"/>
      <c r="F788" s="13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13"/>
      <c r="D789" s="13"/>
      <c r="E789" s="13"/>
      <c r="F789" s="13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13"/>
      <c r="D790" s="13"/>
      <c r="E790" s="13"/>
      <c r="F790" s="13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13"/>
      <c r="D791" s="13"/>
      <c r="E791" s="13"/>
      <c r="F791" s="13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13"/>
      <c r="D792" s="13"/>
      <c r="E792" s="13"/>
      <c r="F792" s="13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13"/>
      <c r="D793" s="13"/>
      <c r="E793" s="13"/>
      <c r="F793" s="13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13"/>
      <c r="D794" s="13"/>
      <c r="E794" s="13"/>
      <c r="F794" s="13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13"/>
      <c r="D795" s="13"/>
      <c r="E795" s="13"/>
      <c r="F795" s="13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13"/>
      <c r="D796" s="13"/>
      <c r="E796" s="13"/>
      <c r="F796" s="13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13"/>
      <c r="D797" s="13"/>
      <c r="E797" s="13"/>
      <c r="F797" s="13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13"/>
      <c r="D798" s="13"/>
      <c r="E798" s="13"/>
      <c r="F798" s="13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13"/>
      <c r="D799" s="13"/>
      <c r="E799" s="13"/>
      <c r="F799" s="13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13"/>
      <c r="D800" s="13"/>
      <c r="E800" s="13"/>
      <c r="F800" s="13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13"/>
      <c r="D801" s="13"/>
      <c r="E801" s="13"/>
      <c r="F801" s="13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13"/>
      <c r="D802" s="13"/>
      <c r="E802" s="13"/>
      <c r="F802" s="13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13"/>
      <c r="D803" s="13"/>
      <c r="E803" s="13"/>
      <c r="F803" s="13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13"/>
      <c r="D804" s="13"/>
      <c r="E804" s="13"/>
      <c r="F804" s="13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13"/>
      <c r="D805" s="13"/>
      <c r="E805" s="13"/>
      <c r="F805" s="13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13"/>
      <c r="D806" s="13"/>
      <c r="E806" s="13"/>
      <c r="F806" s="13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13"/>
      <c r="D807" s="13"/>
      <c r="E807" s="13"/>
      <c r="F807" s="13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13"/>
      <c r="D808" s="13"/>
      <c r="E808" s="13"/>
      <c r="F808" s="13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13"/>
      <c r="D809" s="13"/>
      <c r="E809" s="13"/>
      <c r="F809" s="13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13"/>
      <c r="D810" s="13"/>
      <c r="E810" s="13"/>
      <c r="F810" s="13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13"/>
      <c r="D811" s="13"/>
      <c r="E811" s="13"/>
      <c r="F811" s="13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13"/>
      <c r="D812" s="13"/>
      <c r="E812" s="13"/>
      <c r="F812" s="13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13"/>
      <c r="D813" s="13"/>
      <c r="E813" s="13"/>
      <c r="F813" s="13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13"/>
      <c r="D814" s="13"/>
      <c r="E814" s="13"/>
      <c r="F814" s="13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13"/>
      <c r="D815" s="13"/>
      <c r="E815" s="13"/>
      <c r="F815" s="13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13"/>
      <c r="D816" s="13"/>
      <c r="E816" s="13"/>
      <c r="F816" s="13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13"/>
      <c r="D817" s="13"/>
      <c r="E817" s="13"/>
      <c r="F817" s="13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13"/>
      <c r="D818" s="13"/>
      <c r="E818" s="13"/>
      <c r="F818" s="13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13"/>
      <c r="D819" s="13"/>
      <c r="E819" s="13"/>
      <c r="F819" s="13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13"/>
      <c r="D820" s="13"/>
      <c r="E820" s="13"/>
      <c r="F820" s="13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13"/>
      <c r="D821" s="13"/>
      <c r="E821" s="13"/>
      <c r="F821" s="13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13"/>
      <c r="D822" s="13"/>
      <c r="E822" s="13"/>
      <c r="F822" s="13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13"/>
      <c r="D823" s="13"/>
      <c r="E823" s="13"/>
      <c r="F823" s="13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13"/>
      <c r="D824" s="13"/>
      <c r="E824" s="13"/>
      <c r="F824" s="13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13"/>
      <c r="D825" s="13"/>
      <c r="E825" s="13"/>
      <c r="F825" s="13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13"/>
      <c r="D826" s="13"/>
      <c r="E826" s="13"/>
      <c r="F826" s="13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13"/>
      <c r="D827" s="13"/>
      <c r="E827" s="13"/>
      <c r="F827" s="13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13"/>
      <c r="D828" s="13"/>
      <c r="E828" s="13"/>
      <c r="F828" s="13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13"/>
      <c r="D829" s="13"/>
      <c r="E829" s="13"/>
      <c r="F829" s="13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13"/>
      <c r="D830" s="13"/>
      <c r="E830" s="13"/>
      <c r="F830" s="13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13"/>
      <c r="D831" s="13"/>
      <c r="E831" s="13"/>
      <c r="F831" s="13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13"/>
      <c r="D832" s="13"/>
      <c r="E832" s="13"/>
      <c r="F832" s="13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13"/>
      <c r="D833" s="13"/>
      <c r="E833" s="13"/>
      <c r="F833" s="13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13"/>
      <c r="D834" s="13"/>
      <c r="E834" s="13"/>
      <c r="F834" s="13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13"/>
      <c r="D835" s="13"/>
      <c r="E835" s="13"/>
      <c r="F835" s="13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13"/>
      <c r="D836" s="13"/>
      <c r="E836" s="13"/>
      <c r="F836" s="13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13"/>
      <c r="D837" s="13"/>
      <c r="E837" s="13"/>
      <c r="F837" s="13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13"/>
      <c r="D838" s="13"/>
      <c r="E838" s="13"/>
      <c r="F838" s="13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13"/>
      <c r="D839" s="13"/>
      <c r="E839" s="13"/>
      <c r="F839" s="13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13"/>
      <c r="D840" s="13"/>
      <c r="E840" s="13"/>
      <c r="F840" s="13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13"/>
      <c r="D841" s="13"/>
      <c r="E841" s="13"/>
      <c r="F841" s="13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13"/>
      <c r="D842" s="13"/>
      <c r="E842" s="13"/>
      <c r="F842" s="13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13"/>
      <c r="D843" s="13"/>
      <c r="E843" s="13"/>
      <c r="F843" s="13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13"/>
      <c r="D844" s="13"/>
      <c r="E844" s="13"/>
      <c r="F844" s="13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13"/>
      <c r="D845" s="13"/>
      <c r="E845" s="13"/>
      <c r="F845" s="13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13"/>
      <c r="D846" s="13"/>
      <c r="E846" s="13"/>
      <c r="F846" s="13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13"/>
      <c r="D847" s="13"/>
      <c r="E847" s="13"/>
      <c r="F847" s="13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13"/>
      <c r="D848" s="13"/>
      <c r="E848" s="13"/>
      <c r="F848" s="13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13"/>
      <c r="D849" s="13"/>
      <c r="E849" s="13"/>
      <c r="F849" s="13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13"/>
      <c r="D850" s="13"/>
      <c r="E850" s="13"/>
      <c r="F850" s="13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13"/>
      <c r="D851" s="13"/>
      <c r="E851" s="13"/>
      <c r="F851" s="13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13"/>
      <c r="D852" s="13"/>
      <c r="E852" s="13"/>
      <c r="F852" s="13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13"/>
      <c r="D853" s="13"/>
      <c r="E853" s="13"/>
      <c r="F853" s="13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13"/>
      <c r="D854" s="13"/>
      <c r="E854" s="13"/>
      <c r="F854" s="13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13"/>
      <c r="D855" s="13"/>
      <c r="E855" s="13"/>
      <c r="F855" s="13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13"/>
      <c r="D856" s="13"/>
      <c r="E856" s="13"/>
      <c r="F856" s="13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13"/>
      <c r="D857" s="13"/>
      <c r="E857" s="13"/>
      <c r="F857" s="13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13"/>
      <c r="D858" s="13"/>
      <c r="E858" s="13"/>
      <c r="F858" s="13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13"/>
      <c r="D859" s="13"/>
      <c r="E859" s="13"/>
      <c r="F859" s="13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13"/>
      <c r="D860" s="13"/>
      <c r="E860" s="13"/>
      <c r="F860" s="13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13"/>
      <c r="D861" s="13"/>
      <c r="E861" s="13"/>
      <c r="F861" s="13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13"/>
      <c r="D862" s="13"/>
      <c r="E862" s="13"/>
      <c r="F862" s="13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13"/>
      <c r="D863" s="13"/>
      <c r="E863" s="13"/>
      <c r="F863" s="13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13"/>
      <c r="D864" s="13"/>
      <c r="E864" s="13"/>
      <c r="F864" s="13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13"/>
      <c r="D865" s="13"/>
      <c r="E865" s="13"/>
      <c r="F865" s="13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13"/>
      <c r="D866" s="13"/>
      <c r="E866" s="13"/>
      <c r="F866" s="13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13"/>
      <c r="D867" s="13"/>
      <c r="E867" s="13"/>
      <c r="F867" s="13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13"/>
      <c r="D868" s="13"/>
      <c r="E868" s="13"/>
      <c r="F868" s="13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13"/>
      <c r="D869" s="13"/>
      <c r="E869" s="13"/>
      <c r="F869" s="13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13"/>
      <c r="D870" s="13"/>
      <c r="E870" s="13"/>
      <c r="F870" s="13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13"/>
      <c r="D871" s="13"/>
      <c r="E871" s="13"/>
      <c r="F871" s="13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13"/>
      <c r="D872" s="13"/>
      <c r="E872" s="13"/>
      <c r="F872" s="13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13"/>
      <c r="D873" s="13"/>
      <c r="E873" s="13"/>
      <c r="F873" s="13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13"/>
      <c r="D874" s="13"/>
      <c r="E874" s="13"/>
      <c r="F874" s="13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13"/>
      <c r="D875" s="13"/>
      <c r="E875" s="13"/>
      <c r="F875" s="13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13"/>
      <c r="D876" s="13"/>
      <c r="E876" s="13"/>
      <c r="F876" s="13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13"/>
      <c r="D877" s="13"/>
      <c r="E877" s="13"/>
      <c r="F877" s="13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13"/>
      <c r="D878" s="13"/>
      <c r="E878" s="13"/>
      <c r="F878" s="13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13"/>
      <c r="D879" s="13"/>
      <c r="E879" s="13"/>
      <c r="F879" s="13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13"/>
      <c r="D880" s="13"/>
      <c r="E880" s="13"/>
      <c r="F880" s="13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13"/>
      <c r="D881" s="13"/>
      <c r="E881" s="13"/>
      <c r="F881" s="13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13"/>
      <c r="D882" s="13"/>
      <c r="E882" s="13"/>
      <c r="F882" s="13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13"/>
      <c r="D883" s="13"/>
      <c r="E883" s="13"/>
      <c r="F883" s="13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13"/>
      <c r="D884" s="13"/>
      <c r="E884" s="13"/>
      <c r="F884" s="13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13"/>
      <c r="D885" s="13"/>
      <c r="E885" s="13"/>
      <c r="F885" s="13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13"/>
      <c r="D886" s="13"/>
      <c r="E886" s="13"/>
      <c r="F886" s="13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13"/>
      <c r="D887" s="13"/>
      <c r="E887" s="13"/>
      <c r="F887" s="13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13"/>
      <c r="D888" s="13"/>
      <c r="E888" s="13"/>
      <c r="F888" s="13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13"/>
      <c r="D889" s="13"/>
      <c r="E889" s="13"/>
      <c r="F889" s="13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13"/>
      <c r="D890" s="13"/>
      <c r="E890" s="13"/>
      <c r="F890" s="13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13"/>
      <c r="D891" s="13"/>
      <c r="E891" s="13"/>
      <c r="F891" s="13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13"/>
      <c r="D892" s="13"/>
      <c r="E892" s="13"/>
      <c r="F892" s="13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13"/>
      <c r="D893" s="13"/>
      <c r="E893" s="13"/>
      <c r="F893" s="13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13"/>
      <c r="D894" s="13"/>
      <c r="E894" s="13"/>
      <c r="F894" s="13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13"/>
      <c r="D895" s="13"/>
      <c r="E895" s="13"/>
      <c r="F895" s="13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13"/>
      <c r="D896" s="13"/>
      <c r="E896" s="13"/>
      <c r="F896" s="13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13"/>
      <c r="D897" s="13"/>
      <c r="E897" s="13"/>
      <c r="F897" s="13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13"/>
      <c r="D898" s="13"/>
      <c r="E898" s="13"/>
      <c r="F898" s="13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13"/>
      <c r="D899" s="13"/>
      <c r="E899" s="13"/>
      <c r="F899" s="13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13"/>
      <c r="D900" s="13"/>
      <c r="E900" s="13"/>
      <c r="F900" s="13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13"/>
      <c r="D901" s="13"/>
      <c r="E901" s="13"/>
      <c r="F901" s="13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13"/>
      <c r="D902" s="13"/>
      <c r="E902" s="13"/>
      <c r="F902" s="13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13"/>
      <c r="D903" s="13"/>
      <c r="E903" s="13"/>
      <c r="F903" s="13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13"/>
      <c r="D904" s="13"/>
      <c r="E904" s="13"/>
      <c r="F904" s="13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13"/>
      <c r="D905" s="13"/>
      <c r="E905" s="13"/>
      <c r="F905" s="13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13"/>
      <c r="D906" s="13"/>
      <c r="E906" s="13"/>
      <c r="F906" s="13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13"/>
      <c r="D907" s="13"/>
      <c r="E907" s="13"/>
      <c r="F907" s="13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13"/>
      <c r="D908" s="13"/>
      <c r="E908" s="13"/>
      <c r="F908" s="13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13"/>
      <c r="D909" s="13"/>
      <c r="E909" s="13"/>
      <c r="F909" s="13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13"/>
      <c r="D910" s="13"/>
      <c r="E910" s="13"/>
      <c r="F910" s="13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13"/>
      <c r="D911" s="13"/>
      <c r="E911" s="13"/>
      <c r="F911" s="13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13"/>
      <c r="D912" s="13"/>
      <c r="E912" s="13"/>
      <c r="F912" s="13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13"/>
      <c r="D913" s="13"/>
      <c r="E913" s="13"/>
      <c r="F913" s="13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13"/>
      <c r="D914" s="13"/>
      <c r="E914" s="13"/>
      <c r="F914" s="13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13"/>
      <c r="D915" s="13"/>
      <c r="E915" s="13"/>
      <c r="F915" s="13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13"/>
      <c r="D916" s="13"/>
      <c r="E916" s="13"/>
      <c r="F916" s="13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13"/>
      <c r="D917" s="13"/>
      <c r="E917" s="13"/>
      <c r="F917" s="13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13"/>
      <c r="D918" s="13"/>
      <c r="E918" s="13"/>
      <c r="F918" s="13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13"/>
      <c r="D919" s="13"/>
      <c r="E919" s="13"/>
      <c r="F919" s="13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13"/>
      <c r="D920" s="13"/>
      <c r="E920" s="13"/>
      <c r="F920" s="13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13"/>
      <c r="D921" s="13"/>
      <c r="E921" s="13"/>
      <c r="F921" s="13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13"/>
      <c r="D922" s="13"/>
      <c r="E922" s="13"/>
      <c r="F922" s="13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13"/>
      <c r="D923" s="13"/>
      <c r="E923" s="13"/>
      <c r="F923" s="13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13"/>
      <c r="D924" s="13"/>
      <c r="E924" s="13"/>
      <c r="F924" s="13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13"/>
      <c r="D925" s="13"/>
      <c r="E925" s="13"/>
      <c r="F925" s="13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13"/>
      <c r="D926" s="13"/>
      <c r="E926" s="13"/>
      <c r="F926" s="13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13"/>
      <c r="D927" s="13"/>
      <c r="E927" s="13"/>
      <c r="F927" s="13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13"/>
      <c r="D928" s="13"/>
      <c r="E928" s="13"/>
      <c r="F928" s="13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13"/>
      <c r="D929" s="13"/>
      <c r="E929" s="13"/>
      <c r="F929" s="13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13"/>
      <c r="D930" s="13"/>
      <c r="E930" s="13"/>
      <c r="F930" s="13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13"/>
      <c r="D931" s="13"/>
      <c r="E931" s="13"/>
      <c r="F931" s="13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13"/>
      <c r="D932" s="13"/>
      <c r="E932" s="13"/>
      <c r="F932" s="13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13"/>
      <c r="D933" s="13"/>
      <c r="E933" s="13"/>
      <c r="F933" s="13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13"/>
      <c r="D934" s="13"/>
      <c r="E934" s="13"/>
      <c r="F934" s="13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13"/>
      <c r="D935" s="13"/>
      <c r="E935" s="13"/>
      <c r="F935" s="13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13"/>
      <c r="D936" s="13"/>
      <c r="E936" s="13"/>
      <c r="F936" s="13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13"/>
      <c r="D937" s="13"/>
      <c r="E937" s="13"/>
      <c r="F937" s="13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13"/>
      <c r="D938" s="13"/>
      <c r="E938" s="13"/>
      <c r="F938" s="13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13"/>
      <c r="D939" s="13"/>
      <c r="E939" s="13"/>
      <c r="F939" s="13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13"/>
      <c r="D940" s="13"/>
      <c r="E940" s="13"/>
      <c r="F940" s="13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13"/>
      <c r="D941" s="13"/>
      <c r="E941" s="13"/>
      <c r="F941" s="13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13"/>
      <c r="D942" s="13"/>
      <c r="E942" s="13"/>
      <c r="F942" s="13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13"/>
      <c r="D943" s="13"/>
      <c r="E943" s="13"/>
      <c r="F943" s="13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13"/>
      <c r="D944" s="13"/>
      <c r="E944" s="13"/>
      <c r="F944" s="13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13"/>
      <c r="D945" s="13"/>
      <c r="E945" s="13"/>
      <c r="F945" s="13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13"/>
      <c r="D946" s="13"/>
      <c r="E946" s="13"/>
      <c r="F946" s="13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13"/>
      <c r="D947" s="13"/>
      <c r="E947" s="13"/>
      <c r="F947" s="13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13"/>
      <c r="D948" s="13"/>
      <c r="E948" s="13"/>
      <c r="F948" s="13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13"/>
      <c r="D949" s="13"/>
      <c r="E949" s="13"/>
      <c r="F949" s="13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13"/>
      <c r="D950" s="13"/>
      <c r="E950" s="13"/>
      <c r="F950" s="13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13"/>
      <c r="D951" s="13"/>
      <c r="E951" s="13"/>
      <c r="F951" s="13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13"/>
      <c r="D952" s="13"/>
      <c r="E952" s="13"/>
      <c r="F952" s="13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13"/>
      <c r="D953" s="13"/>
      <c r="E953" s="13"/>
      <c r="F953" s="13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13"/>
      <c r="D954" s="13"/>
      <c r="E954" s="13"/>
      <c r="F954" s="13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13"/>
      <c r="D955" s="13"/>
      <c r="E955" s="13"/>
      <c r="F955" s="13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13"/>
      <c r="D956" s="13"/>
      <c r="E956" s="13"/>
      <c r="F956" s="13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13"/>
      <c r="D957" s="13"/>
      <c r="E957" s="13"/>
      <c r="F957" s="13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13"/>
      <c r="D958" s="13"/>
      <c r="E958" s="13"/>
      <c r="F958" s="13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13"/>
      <c r="D959" s="13"/>
      <c r="E959" s="13"/>
      <c r="F959" s="13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13"/>
      <c r="D960" s="13"/>
      <c r="E960" s="13"/>
      <c r="F960" s="13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13"/>
      <c r="D961" s="13"/>
      <c r="E961" s="13"/>
      <c r="F961" s="13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13"/>
      <c r="D962" s="13"/>
      <c r="E962" s="13"/>
      <c r="F962" s="13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13"/>
      <c r="D963" s="13"/>
      <c r="E963" s="13"/>
      <c r="F963" s="13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13"/>
      <c r="D964" s="13"/>
      <c r="E964" s="13"/>
      <c r="F964" s="13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13"/>
      <c r="D965" s="13"/>
      <c r="E965" s="13"/>
      <c r="F965" s="13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13"/>
      <c r="D966" s="13"/>
      <c r="E966" s="13"/>
      <c r="F966" s="13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13"/>
      <c r="D967" s="13"/>
      <c r="E967" s="13"/>
      <c r="F967" s="13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13"/>
      <c r="D968" s="13"/>
      <c r="E968" s="13"/>
      <c r="F968" s="13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13"/>
      <c r="D969" s="13"/>
      <c r="E969" s="13"/>
      <c r="F969" s="13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13"/>
      <c r="D970" s="13"/>
      <c r="E970" s="13"/>
      <c r="F970" s="13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13"/>
      <c r="D971" s="13"/>
      <c r="E971" s="13"/>
      <c r="F971" s="13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13"/>
      <c r="D972" s="13"/>
      <c r="E972" s="13"/>
      <c r="F972" s="13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13"/>
      <c r="D973" s="13"/>
      <c r="E973" s="13"/>
      <c r="F973" s="13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13"/>
      <c r="D974" s="13"/>
      <c r="E974" s="13"/>
      <c r="F974" s="13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13"/>
      <c r="D975" s="13"/>
      <c r="E975" s="13"/>
      <c r="F975" s="13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13"/>
      <c r="D976" s="13"/>
      <c r="E976" s="13"/>
      <c r="F976" s="13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13"/>
      <c r="D977" s="13"/>
      <c r="E977" s="13"/>
      <c r="F977" s="13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13"/>
      <c r="D978" s="13"/>
      <c r="E978" s="13"/>
      <c r="F978" s="13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13"/>
      <c r="D979" s="13"/>
      <c r="E979" s="13"/>
      <c r="F979" s="13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13"/>
      <c r="D980" s="13"/>
      <c r="E980" s="13"/>
      <c r="F980" s="13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13"/>
      <c r="D981" s="13"/>
      <c r="E981" s="13"/>
      <c r="F981" s="13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13"/>
      <c r="D982" s="13"/>
      <c r="E982" s="13"/>
      <c r="F982" s="13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13"/>
      <c r="D983" s="13"/>
      <c r="E983" s="13"/>
      <c r="F983" s="13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13"/>
      <c r="D984" s="13"/>
      <c r="E984" s="13"/>
      <c r="F984" s="13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13"/>
      <c r="D985" s="13"/>
      <c r="E985" s="13"/>
      <c r="F985" s="13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13"/>
      <c r="D986" s="13"/>
      <c r="E986" s="13"/>
      <c r="F986" s="13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13"/>
      <c r="D987" s="13"/>
      <c r="E987" s="13"/>
      <c r="F987" s="13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13"/>
      <c r="D988" s="13"/>
      <c r="E988" s="13"/>
      <c r="F988" s="13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13"/>
      <c r="D989" s="13"/>
      <c r="E989" s="13"/>
      <c r="F989" s="13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13"/>
      <c r="D990" s="13"/>
      <c r="E990" s="13"/>
      <c r="F990" s="13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13"/>
      <c r="D991" s="13"/>
      <c r="E991" s="13"/>
      <c r="F991" s="13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13"/>
      <c r="D992" s="13"/>
      <c r="E992" s="13"/>
      <c r="F992" s="13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13"/>
      <c r="D993" s="13"/>
      <c r="E993" s="13"/>
      <c r="F993" s="13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13"/>
      <c r="D994" s="13"/>
      <c r="E994" s="13"/>
      <c r="F994" s="13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13"/>
      <c r="D995" s="13"/>
      <c r="E995" s="13"/>
      <c r="F995" s="13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13"/>
      <c r="D996" s="13"/>
      <c r="E996" s="13"/>
      <c r="F996" s="13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13"/>
      <c r="D997" s="13"/>
      <c r="E997" s="13"/>
      <c r="F997" s="13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13"/>
      <c r="D998" s="13"/>
      <c r="E998" s="13"/>
      <c r="F998" s="13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13"/>
      <c r="D999" s="13"/>
      <c r="E999" s="13"/>
      <c r="F999" s="13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13"/>
      <c r="D1000" s="13"/>
      <c r="E1000" s="13"/>
      <c r="F1000" s="13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2"/>
      <c r="B1001" s="4"/>
      <c r="C1001" s="13"/>
      <c r="D1001" s="13"/>
      <c r="E1001" s="13"/>
      <c r="F1001" s="13"/>
      <c r="G1001" s="13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2"/>
      <c r="B1002" s="4"/>
      <c r="C1002" s="13"/>
      <c r="D1002" s="13"/>
      <c r="E1002" s="13"/>
      <c r="F1002" s="13"/>
      <c r="G1002" s="13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2"/>
      <c r="B1003" s="4"/>
      <c r="C1003" s="13"/>
      <c r="D1003" s="13"/>
      <c r="E1003" s="13"/>
      <c r="F1003" s="13"/>
      <c r="G1003" s="13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2"/>
      <c r="B1004" s="4"/>
      <c r="C1004" s="13"/>
      <c r="D1004" s="13"/>
      <c r="E1004" s="13"/>
      <c r="F1004" s="13"/>
      <c r="G1004" s="13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2"/>
      <c r="B1005" s="4"/>
      <c r="C1005" s="13"/>
      <c r="D1005" s="13"/>
      <c r="E1005" s="13"/>
      <c r="F1005" s="13"/>
      <c r="G1005" s="13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2"/>
      <c r="B1006" s="4"/>
      <c r="C1006" s="13"/>
      <c r="D1006" s="13"/>
      <c r="E1006" s="13"/>
      <c r="F1006" s="13"/>
      <c r="G1006" s="13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2"/>
      <c r="B1007" s="4"/>
      <c r="C1007" s="13"/>
      <c r="D1007" s="13"/>
      <c r="E1007" s="13"/>
      <c r="F1007" s="13"/>
      <c r="G1007" s="13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2"/>
      <c r="B1008" s="4"/>
      <c r="C1008" s="13"/>
      <c r="D1008" s="13"/>
      <c r="E1008" s="13"/>
      <c r="F1008" s="13"/>
      <c r="G1008" s="13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2"/>
      <c r="B1009" s="4"/>
      <c r="C1009" s="13"/>
      <c r="D1009" s="13"/>
      <c r="E1009" s="13"/>
      <c r="F1009" s="13"/>
      <c r="G1009" s="13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">
    <mergeCell ref="A49:B49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7</v>
      </c>
      <c r="C2" s="7">
        <v>70000.0</v>
      </c>
      <c r="D2" s="7">
        <f t="shared" ref="D2:D55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55" si="4">E2+F2</f>
        <v>3600</v>
      </c>
    </row>
    <row r="3">
      <c r="A3" s="8">
        <f t="shared" ref="A3:A55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17" t="s">
        <v>12</v>
      </c>
      <c r="C6" s="7">
        <v>26000.0</v>
      </c>
      <c r="D6" s="7">
        <f t="shared" si="2"/>
        <v>15600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13</v>
      </c>
      <c r="C7" s="7">
        <v>19333.0</v>
      </c>
      <c r="D7" s="7">
        <f t="shared" si="2"/>
        <v>11599.8</v>
      </c>
      <c r="E7" s="7">
        <f t="shared" ref="E7:F7" si="9">if($D7&lt;15000,$D7*12/100,15000*12/100)</f>
        <v>1391.976</v>
      </c>
      <c r="F7" s="7">
        <f t="shared" si="9"/>
        <v>1391.976</v>
      </c>
      <c r="G7" s="7">
        <f t="shared" si="4"/>
        <v>2783.952</v>
      </c>
    </row>
    <row r="8">
      <c r="A8" s="8">
        <f t="shared" si="5"/>
        <v>7</v>
      </c>
      <c r="B8" s="17" t="s">
        <v>16</v>
      </c>
      <c r="C8" s="7">
        <v>16500.0</v>
      </c>
      <c r="D8" s="7">
        <f t="shared" si="2"/>
        <v>9900</v>
      </c>
      <c r="E8" s="7">
        <f t="shared" ref="E8:F8" si="10">if($D8&lt;15000,$D8*12/100,15000*12/100)</f>
        <v>1188</v>
      </c>
      <c r="F8" s="7">
        <f t="shared" si="10"/>
        <v>1188</v>
      </c>
      <c r="G8" s="7">
        <f t="shared" si="4"/>
        <v>2376</v>
      </c>
    </row>
    <row r="9">
      <c r="A9" s="8">
        <f t="shared" si="5"/>
        <v>8</v>
      </c>
      <c r="B9" s="17" t="s">
        <v>17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</row>
    <row r="10">
      <c r="A10" s="8">
        <f t="shared" si="5"/>
        <v>9</v>
      </c>
      <c r="B10" s="17" t="s">
        <v>18</v>
      </c>
      <c r="C10" s="7">
        <v>18000.0</v>
      </c>
      <c r="D10" s="7">
        <f t="shared" si="2"/>
        <v>10800</v>
      </c>
      <c r="E10" s="7">
        <f t="shared" ref="E10:F10" si="12">if($D10&lt;15000,$D10*12/100,15000*12/100)</f>
        <v>1296</v>
      </c>
      <c r="F10" s="7">
        <f t="shared" si="12"/>
        <v>1296</v>
      </c>
      <c r="G10" s="7">
        <f t="shared" si="4"/>
        <v>2592</v>
      </c>
    </row>
    <row r="11">
      <c r="A11" s="8">
        <f t="shared" si="5"/>
        <v>10</v>
      </c>
      <c r="B11" s="17" t="s">
        <v>19</v>
      </c>
      <c r="C11" s="7">
        <v>17000.0</v>
      </c>
      <c r="D11" s="7">
        <f t="shared" si="2"/>
        <v>10200</v>
      </c>
      <c r="E11" s="7">
        <f t="shared" ref="E11:F11" si="13">if($D11&lt;15000,$D11*12/100,15000*12/100)</f>
        <v>1224</v>
      </c>
      <c r="F11" s="7">
        <f t="shared" si="13"/>
        <v>1224</v>
      </c>
      <c r="G11" s="7">
        <f t="shared" si="4"/>
        <v>2448</v>
      </c>
    </row>
    <row r="12">
      <c r="A12" s="8">
        <f t="shared" si="5"/>
        <v>11</v>
      </c>
      <c r="B12" s="17" t="s">
        <v>20</v>
      </c>
      <c r="C12" s="7">
        <v>23333.0</v>
      </c>
      <c r="D12" s="7">
        <f t="shared" si="2"/>
        <v>13999.8</v>
      </c>
      <c r="E12" s="7">
        <f t="shared" ref="E12:F12" si="14">if($D12&lt;15000,$D12*12/100,15000*12/100)</f>
        <v>1679.976</v>
      </c>
      <c r="F12" s="7">
        <f t="shared" si="14"/>
        <v>1679.976</v>
      </c>
      <c r="G12" s="7">
        <f t="shared" si="4"/>
        <v>3359.952</v>
      </c>
    </row>
    <row r="13">
      <c r="A13" s="8">
        <f t="shared" si="5"/>
        <v>12</v>
      </c>
      <c r="B13" s="17" t="s">
        <v>21</v>
      </c>
      <c r="C13" s="7">
        <v>27000.0</v>
      </c>
      <c r="D13" s="7">
        <f t="shared" si="2"/>
        <v>16200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23</v>
      </c>
      <c r="C15" s="7">
        <v>17400.0</v>
      </c>
      <c r="D15" s="7">
        <f t="shared" si="2"/>
        <v>10440</v>
      </c>
      <c r="E15" s="7">
        <f t="shared" ref="E15:F15" si="17">if($D15&lt;15000,$D15*12/100,15000*12/100)</f>
        <v>1252.8</v>
      </c>
      <c r="F15" s="7">
        <f t="shared" si="17"/>
        <v>1252.8</v>
      </c>
      <c r="G15" s="7">
        <f t="shared" si="4"/>
        <v>2505.6</v>
      </c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35</v>
      </c>
      <c r="C17" s="7">
        <v>5000.0</v>
      </c>
      <c r="D17" s="7">
        <f t="shared" si="2"/>
        <v>3000</v>
      </c>
      <c r="E17" s="7">
        <f t="shared" ref="E17:F17" si="19">if($D17&lt;15000,$D17*12/100,15000*12/100)</f>
        <v>360</v>
      </c>
      <c r="F17" s="7">
        <f t="shared" si="19"/>
        <v>360</v>
      </c>
      <c r="G17" s="7">
        <f t="shared" si="4"/>
        <v>720</v>
      </c>
    </row>
    <row r="18">
      <c r="A18" s="8">
        <f t="shared" si="5"/>
        <v>17</v>
      </c>
      <c r="B18" s="17" t="s">
        <v>26</v>
      </c>
      <c r="C18" s="7">
        <v>26100.0</v>
      </c>
      <c r="D18" s="7">
        <f t="shared" si="2"/>
        <v>15660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28</v>
      </c>
      <c r="C19" s="7">
        <v>12783.0</v>
      </c>
      <c r="D19" s="7">
        <f t="shared" si="2"/>
        <v>7669.8</v>
      </c>
      <c r="E19" s="7">
        <f t="shared" ref="E19:F19" si="21">if($D19&lt;15000,$D19*12/100,15000*12/100)</f>
        <v>920.376</v>
      </c>
      <c r="F19" s="7">
        <f t="shared" si="21"/>
        <v>920.376</v>
      </c>
      <c r="G19" s="7">
        <f t="shared" si="4"/>
        <v>1840.752</v>
      </c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</row>
    <row r="21">
      <c r="A21" s="8">
        <f t="shared" si="5"/>
        <v>20</v>
      </c>
      <c r="B21" s="17" t="s">
        <v>38</v>
      </c>
      <c r="C21" s="7">
        <v>21267.0</v>
      </c>
      <c r="D21" s="7">
        <f t="shared" si="2"/>
        <v>12760.2</v>
      </c>
      <c r="E21" s="7">
        <f t="shared" ref="E21:F21" si="23">if($D21&lt;15000,$D21*12/100,15000*12/100)</f>
        <v>1531.224</v>
      </c>
      <c r="F21" s="7">
        <f t="shared" si="23"/>
        <v>1531.224</v>
      </c>
      <c r="G21" s="7">
        <f t="shared" si="4"/>
        <v>3062.448</v>
      </c>
    </row>
    <row r="22">
      <c r="A22" s="8">
        <f t="shared" si="5"/>
        <v>21</v>
      </c>
      <c r="B22" s="17" t="s">
        <v>39</v>
      </c>
      <c r="C22" s="7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</row>
    <row r="23">
      <c r="A23" s="8">
        <f t="shared" si="5"/>
        <v>22</v>
      </c>
      <c r="B23" s="17" t="s">
        <v>42</v>
      </c>
      <c r="C23" s="7">
        <v>11800.0</v>
      </c>
      <c r="D23" s="7">
        <f t="shared" si="2"/>
        <v>7080</v>
      </c>
      <c r="E23" s="7">
        <f t="shared" ref="E23:F23" si="25">if($D23&lt;15000,$D23*12/100,15000*12/100)</f>
        <v>849.6</v>
      </c>
      <c r="F23" s="7">
        <f t="shared" si="25"/>
        <v>849.6</v>
      </c>
      <c r="G23" s="7">
        <f t="shared" si="4"/>
        <v>1699.2</v>
      </c>
    </row>
    <row r="24">
      <c r="A24" s="8">
        <f t="shared" si="5"/>
        <v>23</v>
      </c>
      <c r="B24" s="17" t="s">
        <v>43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</row>
    <row r="25">
      <c r="A25" s="8">
        <f t="shared" si="5"/>
        <v>24</v>
      </c>
      <c r="B25" s="17" t="s">
        <v>44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47</v>
      </c>
      <c r="C26" s="7">
        <v>11900.0</v>
      </c>
      <c r="D26" s="7">
        <f t="shared" si="2"/>
        <v>7140</v>
      </c>
      <c r="E26" s="7">
        <f t="shared" ref="E26:F26" si="28">if($D26&lt;15000,$D26*12/100,15000*12/100)</f>
        <v>856.8</v>
      </c>
      <c r="F26" s="7">
        <f t="shared" si="28"/>
        <v>856.8</v>
      </c>
      <c r="G26" s="7">
        <f t="shared" si="4"/>
        <v>1713.6</v>
      </c>
    </row>
    <row r="27">
      <c r="A27" s="8">
        <f t="shared" si="5"/>
        <v>26</v>
      </c>
      <c r="B27" s="17" t="s">
        <v>49</v>
      </c>
      <c r="C27" s="7">
        <v>15000.0</v>
      </c>
      <c r="D27" s="7">
        <f t="shared" si="2"/>
        <v>9000</v>
      </c>
      <c r="E27" s="7">
        <f t="shared" ref="E27:F27" si="29">if($D27&lt;15000,$D27*12/100,15000*12/100)</f>
        <v>1080</v>
      </c>
      <c r="F27" s="7">
        <f t="shared" si="29"/>
        <v>1080</v>
      </c>
      <c r="G27" s="7">
        <f t="shared" si="4"/>
        <v>2160</v>
      </c>
    </row>
    <row r="28">
      <c r="A28" s="8">
        <f t="shared" si="5"/>
        <v>27</v>
      </c>
      <c r="B28" s="17" t="s">
        <v>51</v>
      </c>
      <c r="C28" s="7">
        <v>22000.0</v>
      </c>
      <c r="D28" s="7">
        <f t="shared" si="2"/>
        <v>13200</v>
      </c>
      <c r="E28" s="7">
        <f t="shared" ref="E28:F28" si="30">if($D28&lt;15000,$D28*12/100,15000*12/100)</f>
        <v>1584</v>
      </c>
      <c r="F28" s="7">
        <f t="shared" si="30"/>
        <v>1584</v>
      </c>
      <c r="G28" s="7">
        <f t="shared" si="4"/>
        <v>3168</v>
      </c>
    </row>
    <row r="29">
      <c r="A29" s="8">
        <f t="shared" si="5"/>
        <v>28</v>
      </c>
      <c r="B29" s="17" t="s">
        <v>56</v>
      </c>
      <c r="C29" s="7">
        <v>17883.0</v>
      </c>
      <c r="D29" s="7">
        <f t="shared" si="2"/>
        <v>10729.8</v>
      </c>
      <c r="E29" s="7">
        <f t="shared" ref="E29:F29" si="31">if($D29&lt;15000,$D29*12/100,15000*12/100)</f>
        <v>1287.576</v>
      </c>
      <c r="F29" s="7">
        <f t="shared" si="31"/>
        <v>1287.576</v>
      </c>
      <c r="G29" s="7">
        <f t="shared" si="4"/>
        <v>2575.152</v>
      </c>
    </row>
    <row r="30">
      <c r="A30" s="8">
        <f t="shared" si="5"/>
        <v>29</v>
      </c>
      <c r="B30" s="17" t="s">
        <v>59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</row>
    <row r="31">
      <c r="A31" s="8">
        <f t="shared" si="5"/>
        <v>30</v>
      </c>
      <c r="B31" s="17" t="s">
        <v>60</v>
      </c>
      <c r="C31" s="7">
        <v>6000.0</v>
      </c>
      <c r="D31" s="7">
        <f t="shared" si="2"/>
        <v>3600</v>
      </c>
      <c r="E31" s="7">
        <f t="shared" ref="E31:F31" si="33">if($D31&lt;15000,$D31*12/100,15000*12/100)</f>
        <v>432</v>
      </c>
      <c r="F31" s="7">
        <f t="shared" si="33"/>
        <v>432</v>
      </c>
      <c r="G31" s="7">
        <f t="shared" si="4"/>
        <v>864</v>
      </c>
    </row>
    <row r="32">
      <c r="A32" s="8">
        <f t="shared" si="5"/>
        <v>31</v>
      </c>
      <c r="B32" s="17" t="s">
        <v>64</v>
      </c>
      <c r="C32" s="7">
        <v>16433.0</v>
      </c>
      <c r="D32" s="7">
        <f t="shared" si="2"/>
        <v>9859.8</v>
      </c>
      <c r="E32" s="7">
        <f t="shared" ref="E32:F32" si="34">if($D32&lt;15000,$D32*12/100,15000*12/100)</f>
        <v>1183.176</v>
      </c>
      <c r="F32" s="7">
        <f t="shared" si="34"/>
        <v>1183.176</v>
      </c>
      <c r="G32" s="7">
        <f t="shared" si="4"/>
        <v>2366.352</v>
      </c>
    </row>
    <row r="33">
      <c r="A33" s="8">
        <f t="shared" si="5"/>
        <v>32</v>
      </c>
      <c r="B33" s="17" t="s">
        <v>65</v>
      </c>
      <c r="C33" s="7">
        <v>16000.0</v>
      </c>
      <c r="D33" s="7">
        <f t="shared" si="2"/>
        <v>9600</v>
      </c>
      <c r="E33" s="7">
        <f t="shared" ref="E33:F33" si="35">if($D33&lt;15000,$D33*12/100,15000*12/100)</f>
        <v>1152</v>
      </c>
      <c r="F33" s="7">
        <f t="shared" si="35"/>
        <v>1152</v>
      </c>
      <c r="G33" s="7">
        <f t="shared" si="4"/>
        <v>2304</v>
      </c>
    </row>
    <row r="34">
      <c r="A34" s="8">
        <f t="shared" si="5"/>
        <v>33</v>
      </c>
      <c r="B34" s="18" t="s">
        <v>66</v>
      </c>
      <c r="C34" s="7">
        <v>16000.0</v>
      </c>
      <c r="D34" s="7">
        <f t="shared" si="2"/>
        <v>9600</v>
      </c>
      <c r="E34" s="7">
        <f t="shared" ref="E34:F34" si="36">if($D34&lt;15000,$D34*12/100,15000*12/100)</f>
        <v>1152</v>
      </c>
      <c r="F34" s="7">
        <f t="shared" si="36"/>
        <v>1152</v>
      </c>
      <c r="G34" s="7">
        <f t="shared" si="4"/>
        <v>2304</v>
      </c>
    </row>
    <row r="35">
      <c r="A35" s="8">
        <f t="shared" si="5"/>
        <v>34</v>
      </c>
      <c r="B35" s="18" t="s">
        <v>67</v>
      </c>
      <c r="C35" s="7">
        <v>21267.0</v>
      </c>
      <c r="D35" s="7">
        <f t="shared" si="2"/>
        <v>12760.2</v>
      </c>
      <c r="E35" s="7">
        <f t="shared" ref="E35:F35" si="37">if($D35&lt;15000,$D35*12/100,15000*12/100)</f>
        <v>1531.224</v>
      </c>
      <c r="F35" s="7">
        <f t="shared" si="37"/>
        <v>1531.224</v>
      </c>
      <c r="G35" s="7">
        <f t="shared" si="4"/>
        <v>3062.448</v>
      </c>
    </row>
    <row r="36">
      <c r="A36" s="8">
        <f t="shared" si="5"/>
        <v>35</v>
      </c>
      <c r="B36" s="18" t="s">
        <v>68</v>
      </c>
      <c r="C36" s="7">
        <v>5000.0</v>
      </c>
      <c r="D36" s="7">
        <f t="shared" si="2"/>
        <v>3000</v>
      </c>
      <c r="E36" s="7">
        <f t="shared" ref="E36:F36" si="38">if($D36&lt;15000,$D36*12/100,15000*12/100)</f>
        <v>360</v>
      </c>
      <c r="F36" s="7">
        <f t="shared" si="38"/>
        <v>360</v>
      </c>
      <c r="G36" s="7">
        <f t="shared" si="4"/>
        <v>720</v>
      </c>
    </row>
    <row r="37">
      <c r="A37" s="8">
        <f t="shared" si="5"/>
        <v>36</v>
      </c>
      <c r="B37" s="18" t="s">
        <v>69</v>
      </c>
      <c r="C37" s="19">
        <v>17400.0</v>
      </c>
      <c r="D37" s="7">
        <f t="shared" si="2"/>
        <v>10440</v>
      </c>
      <c r="E37" s="7">
        <f t="shared" ref="E37:F37" si="39">if($D37&lt;15000,$D37*12/100,15000*12/100)</f>
        <v>1252.8</v>
      </c>
      <c r="F37" s="7">
        <f t="shared" si="39"/>
        <v>1252.8</v>
      </c>
      <c r="G37" s="7">
        <f t="shared" si="4"/>
        <v>2505.6</v>
      </c>
    </row>
    <row r="38">
      <c r="A38" s="8">
        <f t="shared" si="5"/>
        <v>37</v>
      </c>
      <c r="B38" s="16" t="s">
        <v>70</v>
      </c>
      <c r="C38" s="19">
        <v>18000.0</v>
      </c>
      <c r="D38" s="7">
        <f t="shared" si="2"/>
        <v>10800</v>
      </c>
      <c r="E38" s="7">
        <f t="shared" ref="E38:F38" si="40">if($D38&lt;15000,$D38*12/100,15000*12/100)</f>
        <v>1296</v>
      </c>
      <c r="F38" s="7">
        <f t="shared" si="40"/>
        <v>1296</v>
      </c>
      <c r="G38" s="7">
        <f t="shared" si="4"/>
        <v>2592</v>
      </c>
    </row>
    <row r="39">
      <c r="A39" s="8">
        <f t="shared" si="5"/>
        <v>38</v>
      </c>
      <c r="B39" s="16" t="s">
        <v>71</v>
      </c>
      <c r="C39" s="19">
        <v>10833.0</v>
      </c>
      <c r="D39" s="7">
        <f t="shared" si="2"/>
        <v>6499.8</v>
      </c>
      <c r="E39" s="7">
        <f t="shared" ref="E39:F39" si="41">if($D39&lt;15000,$D39*12/100,15000*12/100)</f>
        <v>779.976</v>
      </c>
      <c r="F39" s="7">
        <f t="shared" si="41"/>
        <v>779.976</v>
      </c>
      <c r="G39" s="7">
        <f t="shared" si="4"/>
        <v>1559.952</v>
      </c>
    </row>
    <row r="40">
      <c r="A40" s="8">
        <f t="shared" si="5"/>
        <v>39</v>
      </c>
      <c r="B40" s="16" t="s">
        <v>72</v>
      </c>
      <c r="C40" s="19">
        <v>18667.0</v>
      </c>
      <c r="D40" s="7">
        <f t="shared" si="2"/>
        <v>11200.2</v>
      </c>
      <c r="E40" s="7">
        <f t="shared" ref="E40:F40" si="42">if($D40&lt;15000,$D40*12/100,15000*12/100)</f>
        <v>1344.024</v>
      </c>
      <c r="F40" s="7">
        <f t="shared" si="42"/>
        <v>1344.024</v>
      </c>
      <c r="G40" s="7">
        <f t="shared" si="4"/>
        <v>2688.048</v>
      </c>
    </row>
    <row r="41">
      <c r="A41" s="8">
        <f t="shared" si="5"/>
        <v>40</v>
      </c>
      <c r="B41" s="16" t="s">
        <v>73</v>
      </c>
      <c r="C41" s="19">
        <v>21333.0</v>
      </c>
      <c r="D41" s="7">
        <f t="shared" si="2"/>
        <v>12799.8</v>
      </c>
      <c r="E41" s="7">
        <f t="shared" ref="E41:F41" si="43">if($D41&lt;15000,$D41*12/100,15000*12/100)</f>
        <v>1535.976</v>
      </c>
      <c r="F41" s="7">
        <f t="shared" si="43"/>
        <v>1535.976</v>
      </c>
      <c r="G41" s="7">
        <f t="shared" si="4"/>
        <v>3071.952</v>
      </c>
    </row>
    <row r="42">
      <c r="A42" s="8">
        <f t="shared" si="5"/>
        <v>41</v>
      </c>
      <c r="B42" s="16" t="s">
        <v>74</v>
      </c>
      <c r="C42" s="19">
        <v>15833.0</v>
      </c>
      <c r="D42" s="7">
        <f t="shared" si="2"/>
        <v>9499.8</v>
      </c>
      <c r="E42" s="7">
        <f t="shared" ref="E42:F42" si="44">if($D42&lt;15000,$D42*12/100,15000*12/100)</f>
        <v>1139.976</v>
      </c>
      <c r="F42" s="7">
        <f t="shared" si="44"/>
        <v>1139.976</v>
      </c>
      <c r="G42" s="7">
        <f t="shared" si="4"/>
        <v>2279.952</v>
      </c>
    </row>
    <row r="43">
      <c r="A43" s="8">
        <f t="shared" si="5"/>
        <v>42</v>
      </c>
      <c r="B43" s="16" t="s">
        <v>75</v>
      </c>
      <c r="C43" s="19">
        <v>12667.0</v>
      </c>
      <c r="D43" s="7">
        <f t="shared" si="2"/>
        <v>7600.2</v>
      </c>
      <c r="E43" s="7">
        <f t="shared" ref="E43:F43" si="45">if($D43&lt;15000,$D43*12/100,15000*12/100)</f>
        <v>912.024</v>
      </c>
      <c r="F43" s="7">
        <f t="shared" si="45"/>
        <v>912.024</v>
      </c>
      <c r="G43" s="7">
        <f t="shared" si="4"/>
        <v>1824.048</v>
      </c>
    </row>
    <row r="44">
      <c r="A44" s="8">
        <f t="shared" si="5"/>
        <v>43</v>
      </c>
      <c r="B44" s="16" t="s">
        <v>76</v>
      </c>
      <c r="C44" s="19">
        <v>1333.0</v>
      </c>
      <c r="D44" s="7">
        <f t="shared" si="2"/>
        <v>799.8</v>
      </c>
      <c r="E44" s="7">
        <f t="shared" ref="E44:F44" si="46">if($D44&lt;15000,$D44*12/100,15000*12/100)</f>
        <v>95.976</v>
      </c>
      <c r="F44" s="7">
        <f t="shared" si="46"/>
        <v>95.976</v>
      </c>
      <c r="G44" s="7">
        <f t="shared" si="4"/>
        <v>191.952</v>
      </c>
    </row>
    <row r="45">
      <c r="A45" s="8">
        <f t="shared" si="5"/>
        <v>44</v>
      </c>
      <c r="B45" s="16" t="s">
        <v>77</v>
      </c>
      <c r="C45" s="19">
        <v>10000.0</v>
      </c>
      <c r="D45" s="7">
        <f t="shared" si="2"/>
        <v>6000</v>
      </c>
      <c r="E45" s="7">
        <f t="shared" ref="E45:F45" si="47">if($D45&lt;15000,$D45*12/100,15000*12/100)</f>
        <v>720</v>
      </c>
      <c r="F45" s="7">
        <f t="shared" si="47"/>
        <v>720</v>
      </c>
      <c r="G45" s="7">
        <f t="shared" si="4"/>
        <v>1440</v>
      </c>
    </row>
    <row r="46">
      <c r="A46" s="8">
        <f t="shared" si="5"/>
        <v>45</v>
      </c>
      <c r="B46" s="16" t="s">
        <v>78</v>
      </c>
      <c r="C46" s="19">
        <v>8000.0</v>
      </c>
      <c r="D46" s="7">
        <f t="shared" si="2"/>
        <v>4800</v>
      </c>
      <c r="E46" s="7">
        <f t="shared" ref="E46:F46" si="48">if($D46&lt;15000,$D46*12/100,15000*12/100)</f>
        <v>576</v>
      </c>
      <c r="F46" s="7">
        <f t="shared" si="48"/>
        <v>576</v>
      </c>
      <c r="G46" s="7">
        <f t="shared" si="4"/>
        <v>1152</v>
      </c>
    </row>
    <row r="47">
      <c r="A47" s="8">
        <f t="shared" si="5"/>
        <v>46</v>
      </c>
      <c r="B47" s="16" t="s">
        <v>30</v>
      </c>
      <c r="C47" s="19">
        <v>14000.0</v>
      </c>
      <c r="D47" s="7">
        <f t="shared" si="2"/>
        <v>8400</v>
      </c>
      <c r="E47" s="7">
        <f t="shared" ref="E47:F47" si="49">if($D47&lt;15000,$D47*12/100,15000*12/100)</f>
        <v>1008</v>
      </c>
      <c r="F47" s="7">
        <f t="shared" si="49"/>
        <v>1008</v>
      </c>
      <c r="G47" s="7">
        <f t="shared" si="4"/>
        <v>2016</v>
      </c>
    </row>
    <row r="48">
      <c r="A48" s="8">
        <f t="shared" si="5"/>
        <v>47</v>
      </c>
      <c r="B48" s="16" t="s">
        <v>31</v>
      </c>
      <c r="C48" s="19">
        <v>25000.0</v>
      </c>
      <c r="D48" s="7">
        <f t="shared" si="2"/>
        <v>15000</v>
      </c>
      <c r="E48" s="7">
        <f t="shared" ref="E48:F48" si="50">if($D48&lt;15000,$D48*12/100,15000*12/100)</f>
        <v>1800</v>
      </c>
      <c r="F48" s="7">
        <f t="shared" si="50"/>
        <v>1800</v>
      </c>
      <c r="G48" s="7">
        <f t="shared" si="4"/>
        <v>3600</v>
      </c>
    </row>
    <row r="49">
      <c r="A49" s="8">
        <f t="shared" si="5"/>
        <v>48</v>
      </c>
      <c r="B49" s="16" t="s">
        <v>32</v>
      </c>
      <c r="C49" s="19">
        <v>20000.0</v>
      </c>
      <c r="D49" s="7">
        <f t="shared" si="2"/>
        <v>12000</v>
      </c>
      <c r="E49" s="7">
        <f t="shared" ref="E49:F49" si="51">if($D49&lt;15000,$D49*12/100,15000*12/100)</f>
        <v>1440</v>
      </c>
      <c r="F49" s="7">
        <f t="shared" si="51"/>
        <v>1440</v>
      </c>
      <c r="G49" s="7">
        <f t="shared" si="4"/>
        <v>2880</v>
      </c>
    </row>
    <row r="50">
      <c r="A50" s="8">
        <f t="shared" si="5"/>
        <v>49</v>
      </c>
      <c r="B50" s="16" t="s">
        <v>53</v>
      </c>
      <c r="C50" s="19">
        <v>17000.0</v>
      </c>
      <c r="D50" s="7">
        <f t="shared" si="2"/>
        <v>10200</v>
      </c>
      <c r="E50" s="7">
        <f t="shared" ref="E50:F50" si="52">if($D50&lt;15000,$D50*12/100,15000*12/100)</f>
        <v>1224</v>
      </c>
      <c r="F50" s="7">
        <f t="shared" si="52"/>
        <v>1224</v>
      </c>
      <c r="G50" s="7">
        <f t="shared" si="4"/>
        <v>2448</v>
      </c>
    </row>
    <row r="51">
      <c r="A51" s="8">
        <f t="shared" si="5"/>
        <v>50</v>
      </c>
      <c r="B51" s="16" t="s">
        <v>54</v>
      </c>
      <c r="C51" s="19">
        <v>17000.0</v>
      </c>
      <c r="D51" s="7">
        <f t="shared" si="2"/>
        <v>10200</v>
      </c>
      <c r="E51" s="7">
        <f t="shared" ref="E51:F51" si="53">if($D51&lt;15000,$D51*12/100,15000*12/100)</f>
        <v>1224</v>
      </c>
      <c r="F51" s="7">
        <f t="shared" si="53"/>
        <v>1224</v>
      </c>
      <c r="G51" s="7">
        <f t="shared" si="4"/>
        <v>2448</v>
      </c>
    </row>
    <row r="52">
      <c r="A52" s="8">
        <f t="shared" si="5"/>
        <v>51</v>
      </c>
      <c r="B52" s="16" t="s">
        <v>55</v>
      </c>
      <c r="C52" s="19">
        <v>8850.0</v>
      </c>
      <c r="D52" s="7">
        <f t="shared" si="2"/>
        <v>5310</v>
      </c>
      <c r="E52" s="7">
        <f t="shared" ref="E52:F52" si="54">if($D52&lt;15000,$D52*12/100,15000*12/100)</f>
        <v>637.2</v>
      </c>
      <c r="F52" s="7">
        <f t="shared" si="54"/>
        <v>637.2</v>
      </c>
      <c r="G52" s="7">
        <f t="shared" si="4"/>
        <v>1274.4</v>
      </c>
    </row>
    <row r="53">
      <c r="A53" s="8">
        <f t="shared" si="5"/>
        <v>52</v>
      </c>
      <c r="B53" s="16" t="s">
        <v>61</v>
      </c>
      <c r="C53" s="19">
        <v>28000.0</v>
      </c>
      <c r="D53" s="7">
        <f t="shared" si="2"/>
        <v>16800</v>
      </c>
      <c r="E53" s="7">
        <f t="shared" ref="E53:F53" si="55">if($D53&lt;15000,$D53*12/100,15000*12/100)</f>
        <v>1800</v>
      </c>
      <c r="F53" s="7">
        <f t="shared" si="55"/>
        <v>1800</v>
      </c>
      <c r="G53" s="7">
        <f t="shared" si="4"/>
        <v>3600</v>
      </c>
    </row>
    <row r="54">
      <c r="A54" s="8">
        <f t="shared" si="5"/>
        <v>53</v>
      </c>
      <c r="B54" s="16" t="s">
        <v>62</v>
      </c>
      <c r="C54" s="11">
        <v>14000.0</v>
      </c>
      <c r="D54" s="7">
        <f t="shared" si="2"/>
        <v>8400</v>
      </c>
      <c r="E54" s="7">
        <f t="shared" ref="E54:F54" si="56">if($D54&lt;15000,$D54*12/100,15000*12/100)</f>
        <v>1008</v>
      </c>
      <c r="F54" s="7">
        <f t="shared" si="56"/>
        <v>1008</v>
      </c>
      <c r="G54" s="7">
        <f t="shared" si="4"/>
        <v>2016</v>
      </c>
    </row>
    <row r="55">
      <c r="A55" s="8">
        <f t="shared" si="5"/>
        <v>54</v>
      </c>
      <c r="B55" s="16" t="s">
        <v>63</v>
      </c>
      <c r="C55" s="11">
        <v>23000.0</v>
      </c>
      <c r="D55" s="7">
        <f t="shared" si="2"/>
        <v>13800</v>
      </c>
      <c r="E55" s="7">
        <f t="shared" ref="E55:F55" si="57">if($D55&lt;15000,$D55*12/100,15000*12/100)</f>
        <v>1656</v>
      </c>
      <c r="F55" s="7">
        <f t="shared" si="57"/>
        <v>1656</v>
      </c>
      <c r="G55" s="7">
        <f t="shared" si="4"/>
        <v>3312</v>
      </c>
    </row>
    <row r="56">
      <c r="A56" s="9" t="s">
        <v>34</v>
      </c>
      <c r="B56" s="10"/>
      <c r="C56" s="11">
        <f t="shared" ref="C56:G56" si="58">sum(C2:C55)</f>
        <v>1014915</v>
      </c>
      <c r="D56" s="11">
        <f t="shared" si="58"/>
        <v>608949</v>
      </c>
      <c r="E56" s="11">
        <f t="shared" si="58"/>
        <v>66802.68</v>
      </c>
      <c r="F56" s="11">
        <f t="shared" si="58"/>
        <v>66802.68</v>
      </c>
      <c r="G56" s="11">
        <f t="shared" si="58"/>
        <v>133605.36</v>
      </c>
    </row>
  </sheetData>
  <mergeCells count="1">
    <mergeCell ref="A56:B56"/>
  </mergeCells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7</v>
      </c>
      <c r="C2" s="7">
        <v>70000.0</v>
      </c>
      <c r="D2" s="7">
        <f t="shared" ref="D2:D61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1" si="4">E2+F2</f>
        <v>3600</v>
      </c>
    </row>
    <row r="3">
      <c r="A3" s="8">
        <f t="shared" ref="A3:A61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79</v>
      </c>
      <c r="C4" s="7">
        <v>20000.0</v>
      </c>
      <c r="D4" s="7">
        <f t="shared" si="2"/>
        <v>12000</v>
      </c>
      <c r="E4" s="7">
        <f t="shared" ref="E4:F4" si="6">if($D4&lt;15000,$D4*12/100,15000*12/100)</f>
        <v>1440</v>
      </c>
      <c r="F4" s="7">
        <f t="shared" si="6"/>
        <v>1440</v>
      </c>
      <c r="G4" s="7">
        <f t="shared" si="4"/>
        <v>2880</v>
      </c>
    </row>
    <row r="5">
      <c r="A5" s="8">
        <f t="shared" si="5"/>
        <v>4</v>
      </c>
      <c r="B5" s="17" t="s">
        <v>10</v>
      </c>
      <c r="C5" s="7">
        <v>30000.0</v>
      </c>
      <c r="D5" s="7">
        <f t="shared" si="2"/>
        <v>18000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17" t="s">
        <v>80</v>
      </c>
      <c r="C6" s="7">
        <v>26000.0</v>
      </c>
      <c r="D6" s="7">
        <f t="shared" si="2"/>
        <v>15600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13</v>
      </c>
      <c r="C7" s="7">
        <v>20000.0</v>
      </c>
      <c r="D7" s="7">
        <f t="shared" si="2"/>
        <v>12000</v>
      </c>
      <c r="E7" s="7">
        <f t="shared" ref="E7:F7" si="9">if($D7&lt;15000,$D7*12/100,15000*12/100)</f>
        <v>1440</v>
      </c>
      <c r="F7" s="7">
        <f t="shared" si="9"/>
        <v>1440</v>
      </c>
      <c r="G7" s="7">
        <f t="shared" si="4"/>
        <v>2880</v>
      </c>
    </row>
    <row r="8">
      <c r="A8" s="8">
        <f t="shared" si="5"/>
        <v>7</v>
      </c>
      <c r="B8" s="17" t="s">
        <v>16</v>
      </c>
      <c r="C8" s="7">
        <v>16500.0</v>
      </c>
      <c r="D8" s="7">
        <f t="shared" si="2"/>
        <v>9900</v>
      </c>
      <c r="E8" s="7">
        <f t="shared" ref="E8:F8" si="10">if($D8&lt;15000,$D8*12/100,15000*12/100)</f>
        <v>1188</v>
      </c>
      <c r="F8" s="7">
        <f t="shared" si="10"/>
        <v>1188</v>
      </c>
      <c r="G8" s="7">
        <f t="shared" si="4"/>
        <v>2376</v>
      </c>
    </row>
    <row r="9">
      <c r="A9" s="8">
        <f t="shared" si="5"/>
        <v>8</v>
      </c>
      <c r="B9" s="17" t="s">
        <v>17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</row>
    <row r="10">
      <c r="A10" s="8">
        <f t="shared" si="5"/>
        <v>9</v>
      </c>
      <c r="B10" s="17" t="s">
        <v>81</v>
      </c>
      <c r="C10" s="7">
        <v>18000.0</v>
      </c>
      <c r="D10" s="7">
        <f t="shared" si="2"/>
        <v>10800</v>
      </c>
      <c r="E10" s="7">
        <f t="shared" ref="E10:F10" si="12">if($D10&lt;15000,$D10*12/100,15000*12/100)</f>
        <v>1296</v>
      </c>
      <c r="F10" s="7">
        <f t="shared" si="12"/>
        <v>1296</v>
      </c>
      <c r="G10" s="7">
        <f t="shared" si="4"/>
        <v>2592</v>
      </c>
    </row>
    <row r="11">
      <c r="A11" s="8">
        <f t="shared" si="5"/>
        <v>10</v>
      </c>
      <c r="B11" s="17" t="s">
        <v>19</v>
      </c>
      <c r="C11" s="7">
        <v>16452.0</v>
      </c>
      <c r="D11" s="7">
        <f t="shared" si="2"/>
        <v>9871.2</v>
      </c>
      <c r="E11" s="7">
        <f t="shared" ref="E11:F11" si="13">if($D11&lt;15000,$D11*12/100,15000*12/100)</f>
        <v>1184.544</v>
      </c>
      <c r="F11" s="7">
        <f t="shared" si="13"/>
        <v>1184.544</v>
      </c>
      <c r="G11" s="7">
        <f t="shared" si="4"/>
        <v>2369.088</v>
      </c>
    </row>
    <row r="12">
      <c r="A12" s="8">
        <f t="shared" si="5"/>
        <v>11</v>
      </c>
      <c r="B12" s="17" t="s">
        <v>20</v>
      </c>
      <c r="C12" s="7">
        <v>6452.0</v>
      </c>
      <c r="D12" s="7">
        <f t="shared" si="2"/>
        <v>3871.2</v>
      </c>
      <c r="E12" s="7">
        <f t="shared" ref="E12:F12" si="14">if($D12&lt;15000,$D12*12/100,15000*12/100)</f>
        <v>464.544</v>
      </c>
      <c r="F12" s="7">
        <f t="shared" si="14"/>
        <v>464.544</v>
      </c>
      <c r="G12" s="7">
        <f t="shared" si="4"/>
        <v>929.088</v>
      </c>
    </row>
    <row r="13">
      <c r="A13" s="8">
        <f t="shared" si="5"/>
        <v>12</v>
      </c>
      <c r="B13" s="17" t="s">
        <v>82</v>
      </c>
      <c r="C13" s="7">
        <v>27000.0</v>
      </c>
      <c r="D13" s="7">
        <f t="shared" si="2"/>
        <v>16200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23</v>
      </c>
      <c r="C15" s="7">
        <v>18000.0</v>
      </c>
      <c r="D15" s="7">
        <f t="shared" si="2"/>
        <v>10800</v>
      </c>
      <c r="E15" s="7">
        <f t="shared" ref="E15:F15" si="17">if($D15&lt;15000,$D15*12/100,15000*12/100)</f>
        <v>1296</v>
      </c>
      <c r="F15" s="7">
        <f t="shared" si="17"/>
        <v>1296</v>
      </c>
      <c r="G15" s="7">
        <f t="shared" si="4"/>
        <v>2592</v>
      </c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35</v>
      </c>
      <c r="C17" s="7">
        <v>5000.0</v>
      </c>
      <c r="D17" s="7">
        <f t="shared" si="2"/>
        <v>3000</v>
      </c>
      <c r="E17" s="7">
        <f t="shared" ref="E17:F17" si="19">if($D17&lt;15000,$D17*12/100,15000*12/100)</f>
        <v>360</v>
      </c>
      <c r="F17" s="7">
        <f t="shared" si="19"/>
        <v>360</v>
      </c>
      <c r="G17" s="7">
        <f t="shared" si="4"/>
        <v>720</v>
      </c>
    </row>
    <row r="18">
      <c r="A18" s="8">
        <f t="shared" si="5"/>
        <v>17</v>
      </c>
      <c r="B18" s="17" t="s">
        <v>26</v>
      </c>
      <c r="C18" s="7">
        <v>27000.0</v>
      </c>
      <c r="D18" s="7">
        <f t="shared" si="2"/>
        <v>16200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28</v>
      </c>
      <c r="C19" s="7">
        <v>13000.0</v>
      </c>
      <c r="D19" s="7">
        <f t="shared" si="2"/>
        <v>7800</v>
      </c>
      <c r="E19" s="7">
        <f t="shared" ref="E19:F19" si="21">if($D19&lt;15000,$D19*12/100,15000*12/100)</f>
        <v>936</v>
      </c>
      <c r="F19" s="7">
        <f t="shared" si="21"/>
        <v>936</v>
      </c>
      <c r="G19" s="7">
        <f t="shared" si="4"/>
        <v>1872</v>
      </c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</row>
    <row r="21">
      <c r="A21" s="8">
        <f t="shared" si="5"/>
        <v>20</v>
      </c>
      <c r="B21" s="17" t="s">
        <v>38</v>
      </c>
      <c r="C21" s="7">
        <v>22000.0</v>
      </c>
      <c r="D21" s="7">
        <f t="shared" si="2"/>
        <v>13200</v>
      </c>
      <c r="E21" s="7">
        <f t="shared" ref="E21:F21" si="23">if($D21&lt;15000,$D21*12/100,15000*12/100)</f>
        <v>1584</v>
      </c>
      <c r="F21" s="7">
        <f t="shared" si="23"/>
        <v>1584</v>
      </c>
      <c r="G21" s="7">
        <f t="shared" si="4"/>
        <v>3168</v>
      </c>
    </row>
    <row r="22">
      <c r="A22" s="8">
        <f t="shared" si="5"/>
        <v>21</v>
      </c>
      <c r="B22" s="17" t="s">
        <v>39</v>
      </c>
      <c r="C22" s="7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</row>
    <row r="23">
      <c r="A23" s="8">
        <f t="shared" si="5"/>
        <v>22</v>
      </c>
      <c r="B23" s="17" t="s">
        <v>83</v>
      </c>
      <c r="C23" s="7">
        <v>11613.0</v>
      </c>
      <c r="D23" s="7">
        <f t="shared" si="2"/>
        <v>6967.8</v>
      </c>
      <c r="E23" s="7">
        <f t="shared" ref="E23:F23" si="25">if($D23&lt;15000,$D23*12/100,15000*12/100)</f>
        <v>836.136</v>
      </c>
      <c r="F23" s="7">
        <f t="shared" si="25"/>
        <v>836.136</v>
      </c>
      <c r="G23" s="7">
        <f t="shared" si="4"/>
        <v>1672.272</v>
      </c>
    </row>
    <row r="24">
      <c r="A24" s="8">
        <f t="shared" si="5"/>
        <v>23</v>
      </c>
      <c r="B24" s="17" t="s">
        <v>84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</row>
    <row r="25">
      <c r="A25" s="8">
        <f t="shared" si="5"/>
        <v>24</v>
      </c>
      <c r="B25" s="17" t="s">
        <v>44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47</v>
      </c>
      <c r="C26" s="7">
        <v>13161.0</v>
      </c>
      <c r="D26" s="7">
        <f t="shared" si="2"/>
        <v>7896.6</v>
      </c>
      <c r="E26" s="7">
        <f t="shared" ref="E26:F26" si="28">if($D26&lt;15000,$D26*12/100,15000*12/100)</f>
        <v>947.592</v>
      </c>
      <c r="F26" s="7">
        <f t="shared" si="28"/>
        <v>947.592</v>
      </c>
      <c r="G26" s="7">
        <f t="shared" si="4"/>
        <v>1895.184</v>
      </c>
    </row>
    <row r="27">
      <c r="A27" s="8">
        <f t="shared" si="5"/>
        <v>26</v>
      </c>
      <c r="B27" s="17" t="s">
        <v>49</v>
      </c>
      <c r="C27" s="7">
        <v>15000.0</v>
      </c>
      <c r="D27" s="7">
        <f t="shared" si="2"/>
        <v>9000</v>
      </c>
      <c r="E27" s="7">
        <f t="shared" ref="E27:F27" si="29">if($D27&lt;15000,$D27*12/100,15000*12/100)</f>
        <v>1080</v>
      </c>
      <c r="F27" s="7">
        <f t="shared" si="29"/>
        <v>1080</v>
      </c>
      <c r="G27" s="7">
        <f t="shared" si="4"/>
        <v>2160</v>
      </c>
    </row>
    <row r="28">
      <c r="A28" s="8">
        <f t="shared" si="5"/>
        <v>27</v>
      </c>
      <c r="B28" s="17" t="s">
        <v>85</v>
      </c>
      <c r="C28" s="7">
        <v>22000.0</v>
      </c>
      <c r="D28" s="7">
        <f t="shared" si="2"/>
        <v>13200</v>
      </c>
      <c r="E28" s="7">
        <f t="shared" ref="E28:F28" si="30">if($D28&lt;15000,$D28*12/100,15000*12/100)</f>
        <v>1584</v>
      </c>
      <c r="F28" s="7">
        <f t="shared" si="30"/>
        <v>1584</v>
      </c>
      <c r="G28" s="7">
        <f t="shared" si="4"/>
        <v>3168</v>
      </c>
    </row>
    <row r="29">
      <c r="A29" s="8">
        <f t="shared" si="5"/>
        <v>28</v>
      </c>
      <c r="B29" s="17" t="s">
        <v>86</v>
      </c>
      <c r="C29" s="7">
        <v>10742.0</v>
      </c>
      <c r="D29" s="7">
        <f t="shared" si="2"/>
        <v>6445.2</v>
      </c>
      <c r="E29" s="7">
        <f t="shared" ref="E29:F29" si="31">if($D29&lt;15000,$D29*12/100,15000*12/100)</f>
        <v>773.424</v>
      </c>
      <c r="F29" s="7">
        <f t="shared" si="31"/>
        <v>773.424</v>
      </c>
      <c r="G29" s="7">
        <f t="shared" si="4"/>
        <v>1546.848</v>
      </c>
    </row>
    <row r="30">
      <c r="A30" s="8">
        <f t="shared" si="5"/>
        <v>29</v>
      </c>
      <c r="B30" s="17" t="s">
        <v>59</v>
      </c>
      <c r="C30" s="7">
        <v>15000.0</v>
      </c>
      <c r="D30" s="7">
        <f t="shared" si="2"/>
        <v>9000</v>
      </c>
      <c r="E30" s="7">
        <f t="shared" ref="E30:F30" si="32">if($D30&lt;15000,$D30*12/100,15000*12/100)</f>
        <v>1080</v>
      </c>
      <c r="F30" s="7">
        <f t="shared" si="32"/>
        <v>1080</v>
      </c>
      <c r="G30" s="7">
        <f t="shared" si="4"/>
        <v>2160</v>
      </c>
    </row>
    <row r="31">
      <c r="A31" s="8">
        <f t="shared" si="5"/>
        <v>30</v>
      </c>
      <c r="B31" s="17" t="s">
        <v>60</v>
      </c>
      <c r="C31" s="7">
        <v>6000.0</v>
      </c>
      <c r="D31" s="7">
        <f t="shared" si="2"/>
        <v>3600</v>
      </c>
      <c r="E31" s="7">
        <f t="shared" ref="E31:F31" si="33">if($D31&lt;15000,$D31*12/100,15000*12/100)</f>
        <v>432</v>
      </c>
      <c r="F31" s="7">
        <f t="shared" si="33"/>
        <v>432</v>
      </c>
      <c r="G31" s="7">
        <f t="shared" si="4"/>
        <v>864</v>
      </c>
    </row>
    <row r="32">
      <c r="A32" s="8">
        <f t="shared" si="5"/>
        <v>31</v>
      </c>
      <c r="B32" s="17" t="s">
        <v>64</v>
      </c>
      <c r="C32" s="7">
        <v>16452.0</v>
      </c>
      <c r="D32" s="7">
        <f t="shared" si="2"/>
        <v>9871.2</v>
      </c>
      <c r="E32" s="7">
        <f t="shared" ref="E32:F32" si="34">if($D32&lt;15000,$D32*12/100,15000*12/100)</f>
        <v>1184.544</v>
      </c>
      <c r="F32" s="7">
        <f t="shared" si="34"/>
        <v>1184.544</v>
      </c>
      <c r="G32" s="7">
        <f t="shared" si="4"/>
        <v>2369.088</v>
      </c>
    </row>
    <row r="33">
      <c r="A33" s="8">
        <f t="shared" si="5"/>
        <v>32</v>
      </c>
      <c r="B33" s="17" t="s">
        <v>65</v>
      </c>
      <c r="C33" s="7">
        <v>15484.0</v>
      </c>
      <c r="D33" s="7">
        <f t="shared" si="2"/>
        <v>9290.4</v>
      </c>
      <c r="E33" s="7">
        <f t="shared" ref="E33:F33" si="35">if($D33&lt;15000,$D33*12/100,15000*12/100)</f>
        <v>1114.848</v>
      </c>
      <c r="F33" s="7">
        <f t="shared" si="35"/>
        <v>1114.848</v>
      </c>
      <c r="G33" s="7">
        <f t="shared" si="4"/>
        <v>2229.696</v>
      </c>
    </row>
    <row r="34">
      <c r="A34" s="8">
        <f t="shared" si="5"/>
        <v>33</v>
      </c>
      <c r="B34" s="18" t="s">
        <v>87</v>
      </c>
      <c r="C34" s="7">
        <v>12645.0</v>
      </c>
      <c r="D34" s="7">
        <f t="shared" si="2"/>
        <v>7587</v>
      </c>
      <c r="E34" s="7">
        <f t="shared" ref="E34:F34" si="36">if($D34&lt;15000,$D34*12/100,15000*12/100)</f>
        <v>910.44</v>
      </c>
      <c r="F34" s="7">
        <f t="shared" si="36"/>
        <v>910.44</v>
      </c>
      <c r="G34" s="7">
        <f t="shared" si="4"/>
        <v>1820.88</v>
      </c>
    </row>
    <row r="35">
      <c r="A35" s="8">
        <f t="shared" si="5"/>
        <v>34</v>
      </c>
      <c r="B35" s="18" t="s">
        <v>67</v>
      </c>
      <c r="C35" s="7">
        <v>22000.0</v>
      </c>
      <c r="D35" s="7">
        <f t="shared" si="2"/>
        <v>13200</v>
      </c>
      <c r="E35" s="7">
        <f t="shared" ref="E35:F35" si="37">if($D35&lt;15000,$D35*12/100,15000*12/100)</f>
        <v>1584</v>
      </c>
      <c r="F35" s="7">
        <f t="shared" si="37"/>
        <v>1584</v>
      </c>
      <c r="G35" s="7">
        <f t="shared" si="4"/>
        <v>3168</v>
      </c>
    </row>
    <row r="36">
      <c r="A36" s="8">
        <f t="shared" si="5"/>
        <v>35</v>
      </c>
      <c r="B36" s="18" t="s">
        <v>68</v>
      </c>
      <c r="C36" s="7">
        <v>5000.0</v>
      </c>
      <c r="D36" s="7">
        <f t="shared" si="2"/>
        <v>3000</v>
      </c>
      <c r="E36" s="7">
        <f t="shared" ref="E36:F36" si="38">if($D36&lt;15000,$D36*12/100,15000*12/100)</f>
        <v>360</v>
      </c>
      <c r="F36" s="7">
        <f t="shared" si="38"/>
        <v>360</v>
      </c>
      <c r="G36" s="7">
        <f t="shared" si="4"/>
        <v>720</v>
      </c>
    </row>
    <row r="37">
      <c r="A37" s="8">
        <f t="shared" si="5"/>
        <v>36</v>
      </c>
      <c r="B37" s="18" t="s">
        <v>69</v>
      </c>
      <c r="C37" s="19">
        <v>15677.0</v>
      </c>
      <c r="D37" s="7">
        <f t="shared" si="2"/>
        <v>9406.2</v>
      </c>
      <c r="E37" s="7">
        <f t="shared" ref="E37:F37" si="39">if($D37&lt;15000,$D37*12/100,15000*12/100)</f>
        <v>1128.744</v>
      </c>
      <c r="F37" s="7">
        <f t="shared" si="39"/>
        <v>1128.744</v>
      </c>
      <c r="G37" s="7">
        <f t="shared" si="4"/>
        <v>2257.488</v>
      </c>
    </row>
    <row r="38">
      <c r="A38" s="8">
        <f t="shared" si="5"/>
        <v>37</v>
      </c>
      <c r="B38" s="16" t="s">
        <v>70</v>
      </c>
      <c r="C38" s="19">
        <v>12000.0</v>
      </c>
      <c r="D38" s="7">
        <f t="shared" si="2"/>
        <v>7200</v>
      </c>
      <c r="E38" s="7">
        <f t="shared" ref="E38:F38" si="40">if($D38&lt;15000,$D38*12/100,15000*12/100)</f>
        <v>864</v>
      </c>
      <c r="F38" s="7">
        <f t="shared" si="40"/>
        <v>864</v>
      </c>
      <c r="G38" s="7">
        <f t="shared" si="4"/>
        <v>1728</v>
      </c>
    </row>
    <row r="39">
      <c r="A39" s="8">
        <f t="shared" si="5"/>
        <v>38</v>
      </c>
      <c r="B39" s="16" t="s">
        <v>71</v>
      </c>
      <c r="C39" s="19">
        <v>23790.0</v>
      </c>
      <c r="D39" s="7">
        <f t="shared" si="2"/>
        <v>14274</v>
      </c>
      <c r="E39" s="7">
        <f t="shared" ref="E39:F39" si="41">if($D39&lt;15000,$D39*12/100,15000*12/100)</f>
        <v>1712.88</v>
      </c>
      <c r="F39" s="7">
        <f t="shared" si="41"/>
        <v>1712.88</v>
      </c>
      <c r="G39" s="7">
        <f t="shared" si="4"/>
        <v>3425.76</v>
      </c>
    </row>
    <row r="40">
      <c r="A40" s="8">
        <f t="shared" si="5"/>
        <v>39</v>
      </c>
      <c r="B40" s="16" t="s">
        <v>72</v>
      </c>
      <c r="C40" s="19">
        <v>35000.0</v>
      </c>
      <c r="D40" s="7">
        <f t="shared" si="2"/>
        <v>21000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16" t="s">
        <v>73</v>
      </c>
      <c r="C41" s="19">
        <v>30968.0</v>
      </c>
      <c r="D41" s="7">
        <f t="shared" si="2"/>
        <v>18580.8</v>
      </c>
      <c r="E41" s="7">
        <f t="shared" ref="E41:F41" si="43">if($D41&lt;15000,$D41*12/100,15000*12/100)</f>
        <v>1800</v>
      </c>
      <c r="F41" s="7">
        <f t="shared" si="43"/>
        <v>1800</v>
      </c>
      <c r="G41" s="7">
        <f t="shared" si="4"/>
        <v>3600</v>
      </c>
    </row>
    <row r="42">
      <c r="A42" s="8">
        <f t="shared" si="5"/>
        <v>41</v>
      </c>
      <c r="B42" s="16" t="s">
        <v>74</v>
      </c>
      <c r="C42" s="19">
        <v>23790.0</v>
      </c>
      <c r="D42" s="7">
        <f t="shared" si="2"/>
        <v>14274</v>
      </c>
      <c r="E42" s="7">
        <f t="shared" ref="E42:F42" si="44">if($D42&lt;15000,$D42*12/100,15000*12/100)</f>
        <v>1712.88</v>
      </c>
      <c r="F42" s="7">
        <f t="shared" si="44"/>
        <v>1712.88</v>
      </c>
      <c r="G42" s="7">
        <f t="shared" si="4"/>
        <v>3425.76</v>
      </c>
    </row>
    <row r="43">
      <c r="A43" s="8">
        <f t="shared" si="5"/>
        <v>42</v>
      </c>
      <c r="B43" s="16" t="s">
        <v>75</v>
      </c>
      <c r="C43" s="19">
        <v>19355.0</v>
      </c>
      <c r="D43" s="7">
        <f t="shared" si="2"/>
        <v>11613</v>
      </c>
      <c r="E43" s="7">
        <f t="shared" ref="E43:F43" si="45">if($D43&lt;15000,$D43*12/100,15000*12/100)</f>
        <v>1393.56</v>
      </c>
      <c r="F43" s="7">
        <f t="shared" si="45"/>
        <v>1393.56</v>
      </c>
      <c r="G43" s="7">
        <f t="shared" si="4"/>
        <v>2787.12</v>
      </c>
    </row>
    <row r="44">
      <c r="A44" s="8">
        <f t="shared" si="5"/>
        <v>43</v>
      </c>
      <c r="B44" s="16" t="s">
        <v>77</v>
      </c>
      <c r="C44" s="19">
        <v>16129.0</v>
      </c>
      <c r="D44" s="7">
        <f t="shared" si="2"/>
        <v>9677.4</v>
      </c>
      <c r="E44" s="7">
        <f t="shared" ref="E44:F44" si="46">if($D44&lt;15000,$D44*12/100,15000*12/100)</f>
        <v>1161.288</v>
      </c>
      <c r="F44" s="7">
        <f t="shared" si="46"/>
        <v>1161.288</v>
      </c>
      <c r="G44" s="7">
        <f t="shared" si="4"/>
        <v>2322.576</v>
      </c>
    </row>
    <row r="45">
      <c r="A45" s="8">
        <f t="shared" si="5"/>
        <v>44</v>
      </c>
      <c r="B45" s="16" t="s">
        <v>78</v>
      </c>
      <c r="C45" s="19">
        <v>8000.0</v>
      </c>
      <c r="D45" s="7">
        <f t="shared" si="2"/>
        <v>4800</v>
      </c>
      <c r="E45" s="7">
        <f t="shared" ref="E45:F45" si="47">if($D45&lt;15000,$D45*12/100,15000*12/100)</f>
        <v>576</v>
      </c>
      <c r="F45" s="7">
        <f t="shared" si="47"/>
        <v>576</v>
      </c>
      <c r="G45" s="7">
        <f t="shared" si="4"/>
        <v>1152</v>
      </c>
    </row>
    <row r="46">
      <c r="A46" s="8">
        <f t="shared" si="5"/>
        <v>45</v>
      </c>
      <c r="B46" s="16" t="s">
        <v>88</v>
      </c>
      <c r="C46" s="19">
        <v>13484.0</v>
      </c>
      <c r="D46" s="7">
        <f t="shared" si="2"/>
        <v>8090.4</v>
      </c>
      <c r="E46" s="7">
        <f t="shared" ref="E46:F46" si="48">if($D46&lt;15000,$D46*12/100,15000*12/100)</f>
        <v>970.848</v>
      </c>
      <c r="F46" s="7">
        <f t="shared" si="48"/>
        <v>970.848</v>
      </c>
      <c r="G46" s="7">
        <f t="shared" si="4"/>
        <v>1941.696</v>
      </c>
    </row>
    <row r="47">
      <c r="A47" s="8">
        <f t="shared" si="5"/>
        <v>46</v>
      </c>
      <c r="B47" s="16" t="s">
        <v>89</v>
      </c>
      <c r="C47" s="19">
        <v>4935.0</v>
      </c>
      <c r="D47" s="7">
        <f t="shared" si="2"/>
        <v>2961</v>
      </c>
      <c r="E47" s="7">
        <f t="shared" ref="E47:F47" si="49">if($D47&lt;15000,$D47*12/100,15000*12/100)</f>
        <v>355.32</v>
      </c>
      <c r="F47" s="7">
        <f t="shared" si="49"/>
        <v>355.32</v>
      </c>
      <c r="G47" s="7">
        <f t="shared" si="4"/>
        <v>710.64</v>
      </c>
    </row>
    <row r="48">
      <c r="A48" s="8">
        <f t="shared" si="5"/>
        <v>47</v>
      </c>
      <c r="B48" s="16" t="s">
        <v>90</v>
      </c>
      <c r="C48" s="19">
        <v>4935.0</v>
      </c>
      <c r="D48" s="7">
        <f t="shared" si="2"/>
        <v>2961</v>
      </c>
      <c r="E48" s="7">
        <f t="shared" ref="E48:F48" si="50">if($D48&lt;15000,$D48*12/100,15000*12/100)</f>
        <v>355.32</v>
      </c>
      <c r="F48" s="7">
        <f t="shared" si="50"/>
        <v>355.32</v>
      </c>
      <c r="G48" s="7">
        <f t="shared" si="4"/>
        <v>710.64</v>
      </c>
    </row>
    <row r="49">
      <c r="A49" s="8">
        <f t="shared" si="5"/>
        <v>48</v>
      </c>
      <c r="B49" s="16" t="s">
        <v>91</v>
      </c>
      <c r="C49" s="19">
        <v>4516.0</v>
      </c>
      <c r="D49" s="7">
        <f t="shared" si="2"/>
        <v>2709.6</v>
      </c>
      <c r="E49" s="7">
        <f t="shared" ref="E49:F49" si="51">if($D49&lt;15000,$D49*12/100,15000*12/100)</f>
        <v>325.152</v>
      </c>
      <c r="F49" s="7">
        <f t="shared" si="51"/>
        <v>325.152</v>
      </c>
      <c r="G49" s="7">
        <f t="shared" si="4"/>
        <v>650.304</v>
      </c>
    </row>
    <row r="50">
      <c r="A50" s="8">
        <f t="shared" si="5"/>
        <v>49</v>
      </c>
      <c r="B50" s="16" t="s">
        <v>92</v>
      </c>
      <c r="C50" s="19">
        <v>7903.0</v>
      </c>
      <c r="D50" s="7">
        <f t="shared" si="2"/>
        <v>4741.8</v>
      </c>
      <c r="E50" s="7">
        <f t="shared" ref="E50:F50" si="52">if($D50&lt;15000,$D50*12/100,15000*12/100)</f>
        <v>569.016</v>
      </c>
      <c r="F50" s="7">
        <f t="shared" si="52"/>
        <v>569.016</v>
      </c>
      <c r="G50" s="7">
        <f t="shared" si="4"/>
        <v>1138.032</v>
      </c>
    </row>
    <row r="51">
      <c r="A51" s="8">
        <f t="shared" si="5"/>
        <v>50</v>
      </c>
      <c r="B51" s="16" t="s">
        <v>93</v>
      </c>
      <c r="C51" s="19">
        <v>3290.0</v>
      </c>
      <c r="D51" s="7">
        <f t="shared" si="2"/>
        <v>1974</v>
      </c>
      <c r="E51" s="7">
        <f t="shared" ref="E51:F51" si="53">if($D51&lt;15000,$D51*12/100,15000*12/100)</f>
        <v>236.88</v>
      </c>
      <c r="F51" s="7">
        <f t="shared" si="53"/>
        <v>236.88</v>
      </c>
      <c r="G51" s="7">
        <f t="shared" si="4"/>
        <v>473.76</v>
      </c>
    </row>
    <row r="52">
      <c r="A52" s="8">
        <f t="shared" si="5"/>
        <v>51</v>
      </c>
      <c r="B52" s="16" t="s">
        <v>94</v>
      </c>
      <c r="C52" s="19">
        <v>17742.0</v>
      </c>
      <c r="D52" s="7">
        <f t="shared" si="2"/>
        <v>10645.2</v>
      </c>
      <c r="E52" s="7">
        <f t="shared" ref="E52:F52" si="54">if($D52&lt;15000,$D52*12/100,15000*12/100)</f>
        <v>1277.424</v>
      </c>
      <c r="F52" s="7">
        <f t="shared" si="54"/>
        <v>1277.424</v>
      </c>
      <c r="G52" s="7">
        <f t="shared" si="4"/>
        <v>2554.848</v>
      </c>
    </row>
    <row r="53">
      <c r="A53" s="8">
        <f t="shared" si="5"/>
        <v>52</v>
      </c>
      <c r="B53" s="16" t="s">
        <v>30</v>
      </c>
      <c r="C53" s="19">
        <v>13774.0</v>
      </c>
      <c r="D53" s="7">
        <f t="shared" si="2"/>
        <v>8264.4</v>
      </c>
      <c r="E53" s="7">
        <f t="shared" ref="E53:F53" si="55">if($D53&lt;15000,$D53*12/100,15000*12/100)</f>
        <v>991.728</v>
      </c>
      <c r="F53" s="7">
        <f t="shared" si="55"/>
        <v>991.728</v>
      </c>
      <c r="G53" s="7">
        <f t="shared" si="4"/>
        <v>1983.456</v>
      </c>
    </row>
    <row r="54">
      <c r="A54" s="8">
        <f t="shared" si="5"/>
        <v>53</v>
      </c>
      <c r="B54" s="16" t="s">
        <v>31</v>
      </c>
      <c r="C54" s="19">
        <v>24194.0</v>
      </c>
      <c r="D54" s="7">
        <f t="shared" si="2"/>
        <v>14516.4</v>
      </c>
      <c r="E54" s="7">
        <f t="shared" ref="E54:F54" si="56">if($D54&lt;15000,$D54*12/100,15000*12/100)</f>
        <v>1741.968</v>
      </c>
      <c r="F54" s="7">
        <f t="shared" si="56"/>
        <v>1741.968</v>
      </c>
      <c r="G54" s="7">
        <f t="shared" si="4"/>
        <v>3483.936</v>
      </c>
    </row>
    <row r="55">
      <c r="A55" s="8">
        <f t="shared" si="5"/>
        <v>54</v>
      </c>
      <c r="B55" s="16" t="s">
        <v>32</v>
      </c>
      <c r="C55" s="19">
        <v>20000.0</v>
      </c>
      <c r="D55" s="7">
        <f t="shared" si="2"/>
        <v>12000</v>
      </c>
      <c r="E55" s="7">
        <f t="shared" ref="E55:F55" si="57">if($D55&lt;15000,$D55*12/100,15000*12/100)</f>
        <v>1440</v>
      </c>
      <c r="F55" s="7">
        <f t="shared" si="57"/>
        <v>1440</v>
      </c>
      <c r="G55" s="7">
        <f t="shared" si="4"/>
        <v>2880</v>
      </c>
    </row>
    <row r="56">
      <c r="A56" s="8">
        <f t="shared" si="5"/>
        <v>55</v>
      </c>
      <c r="B56" s="16" t="s">
        <v>53</v>
      </c>
      <c r="C56" s="19">
        <v>17000.0</v>
      </c>
      <c r="D56" s="7">
        <f t="shared" si="2"/>
        <v>10200</v>
      </c>
      <c r="E56" s="7">
        <f t="shared" ref="E56:F56" si="58">if($D56&lt;15000,$D56*12/100,15000*12/100)</f>
        <v>1224</v>
      </c>
      <c r="F56" s="7">
        <f t="shared" si="58"/>
        <v>1224</v>
      </c>
      <c r="G56" s="7">
        <f t="shared" si="4"/>
        <v>2448</v>
      </c>
    </row>
    <row r="57">
      <c r="A57" s="8">
        <f t="shared" si="5"/>
        <v>56</v>
      </c>
      <c r="B57" s="16" t="s">
        <v>54</v>
      </c>
      <c r="C57" s="19">
        <v>17000.0</v>
      </c>
      <c r="D57" s="7">
        <f t="shared" si="2"/>
        <v>10200</v>
      </c>
      <c r="E57" s="7">
        <f t="shared" ref="E57:F57" si="59">if($D57&lt;15000,$D57*12/100,15000*12/100)</f>
        <v>1224</v>
      </c>
      <c r="F57" s="7">
        <f t="shared" si="59"/>
        <v>1224</v>
      </c>
      <c r="G57" s="7">
        <f t="shared" si="4"/>
        <v>2448</v>
      </c>
    </row>
    <row r="58">
      <c r="A58" s="8">
        <f t="shared" si="5"/>
        <v>57</v>
      </c>
      <c r="B58" s="16" t="s">
        <v>55</v>
      </c>
      <c r="C58" s="19">
        <v>8129.0</v>
      </c>
      <c r="D58" s="7">
        <f t="shared" si="2"/>
        <v>4877.4</v>
      </c>
      <c r="E58" s="7">
        <f t="shared" ref="E58:F58" si="60">if($D58&lt;15000,$D58*12/100,15000*12/100)</f>
        <v>585.288</v>
      </c>
      <c r="F58" s="7">
        <f t="shared" si="60"/>
        <v>585.288</v>
      </c>
      <c r="G58" s="7">
        <f t="shared" si="4"/>
        <v>1170.576</v>
      </c>
    </row>
    <row r="59">
      <c r="A59" s="8">
        <f t="shared" si="5"/>
        <v>58</v>
      </c>
      <c r="B59" s="16" t="s">
        <v>61</v>
      </c>
      <c r="C59" s="7">
        <v>28000.0</v>
      </c>
      <c r="D59" s="7">
        <f t="shared" si="2"/>
        <v>16800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</row>
    <row r="60">
      <c r="A60" s="8">
        <f t="shared" si="5"/>
        <v>59</v>
      </c>
      <c r="B60" s="16" t="s">
        <v>62</v>
      </c>
      <c r="C60" s="7">
        <v>13790.0</v>
      </c>
      <c r="D60" s="7">
        <f t="shared" si="2"/>
        <v>8274</v>
      </c>
      <c r="E60" s="7">
        <f t="shared" ref="E60:F60" si="62">if($D60&lt;15000,$D60*12/100,15000*12/100)</f>
        <v>992.88</v>
      </c>
      <c r="F60" s="7">
        <f t="shared" si="62"/>
        <v>992.88</v>
      </c>
      <c r="G60" s="7">
        <f t="shared" si="4"/>
        <v>1985.76</v>
      </c>
    </row>
    <row r="61">
      <c r="A61" s="8">
        <f t="shared" si="5"/>
        <v>60</v>
      </c>
      <c r="B61" s="16" t="s">
        <v>63</v>
      </c>
      <c r="C61" s="7">
        <v>19661.0</v>
      </c>
      <c r="D61" s="7">
        <f t="shared" si="2"/>
        <v>11796.6</v>
      </c>
      <c r="E61" s="7">
        <f t="shared" ref="E61:F61" si="63">if($D61&lt;15000,$D61*12/100,15000*12/100)</f>
        <v>1415.592</v>
      </c>
      <c r="F61" s="7">
        <f t="shared" si="63"/>
        <v>1415.592</v>
      </c>
      <c r="G61" s="7">
        <f t="shared" si="4"/>
        <v>2831.184</v>
      </c>
    </row>
    <row r="62">
      <c r="A62" s="9" t="s">
        <v>34</v>
      </c>
      <c r="B62" s="10"/>
      <c r="C62" s="11">
        <f t="shared" ref="C62:G62" si="64">sum(C2:C61)</f>
        <v>1093563</v>
      </c>
      <c r="D62" s="11">
        <f t="shared" si="64"/>
        <v>656137.8</v>
      </c>
      <c r="E62" s="11">
        <f t="shared" si="64"/>
        <v>71250.84</v>
      </c>
      <c r="F62" s="11">
        <f t="shared" si="64"/>
        <v>71250.84</v>
      </c>
      <c r="G62" s="11">
        <f t="shared" si="64"/>
        <v>142501.68</v>
      </c>
    </row>
  </sheetData>
  <mergeCells count="1">
    <mergeCell ref="A62:B62"/>
  </mergeCells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7</v>
      </c>
      <c r="C2" s="7">
        <v>70000.0</v>
      </c>
      <c r="D2" s="7">
        <f t="shared" ref="D2:D63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3" si="4">E2+F2</f>
        <v>3600</v>
      </c>
    </row>
    <row r="3">
      <c r="A3" s="8">
        <f t="shared" ref="A3:A63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95</v>
      </c>
      <c r="C4" s="7">
        <v>47667.0</v>
      </c>
      <c r="D4" s="7">
        <f t="shared" si="2"/>
        <v>28600.2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79</v>
      </c>
      <c r="C5" s="7">
        <v>20000.0</v>
      </c>
      <c r="D5" s="7">
        <f t="shared" si="2"/>
        <v>12000</v>
      </c>
      <c r="E5" s="7">
        <f t="shared" ref="E5:F5" si="7">if($D5&lt;15000,$D5*12/100,15000*12/100)</f>
        <v>1440</v>
      </c>
      <c r="F5" s="7">
        <f t="shared" si="7"/>
        <v>1440</v>
      </c>
      <c r="G5" s="7">
        <f t="shared" si="4"/>
        <v>2880</v>
      </c>
    </row>
    <row r="6">
      <c r="A6" s="8">
        <f t="shared" si="5"/>
        <v>5</v>
      </c>
      <c r="B6" s="17" t="s">
        <v>10</v>
      </c>
      <c r="C6" s="7">
        <v>30000.0</v>
      </c>
      <c r="D6" s="7">
        <f t="shared" si="2"/>
        <v>18000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80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</row>
    <row r="9">
      <c r="A9" s="8">
        <f t="shared" si="5"/>
        <v>8</v>
      </c>
      <c r="B9" s="17" t="s">
        <v>16</v>
      </c>
      <c r="C9" s="7">
        <v>16500.0</v>
      </c>
      <c r="D9" s="7">
        <f t="shared" si="2"/>
        <v>9900</v>
      </c>
      <c r="E9" s="7">
        <f t="shared" ref="E9:F9" si="11">if($D9&lt;15000,$D9*12/100,15000*12/100)</f>
        <v>1188</v>
      </c>
      <c r="F9" s="7">
        <f t="shared" si="11"/>
        <v>1188</v>
      </c>
      <c r="G9" s="7">
        <f t="shared" si="4"/>
        <v>2376</v>
      </c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</row>
    <row r="11">
      <c r="A11" s="8">
        <f t="shared" si="5"/>
        <v>10</v>
      </c>
      <c r="B11" s="17" t="s">
        <v>81</v>
      </c>
      <c r="C11" s="7">
        <v>17400.0</v>
      </c>
      <c r="D11" s="7">
        <f t="shared" si="2"/>
        <v>10440</v>
      </c>
      <c r="E11" s="7">
        <f t="shared" ref="E11:F11" si="13">if($D11&lt;15000,$D11*12/100,15000*12/100)</f>
        <v>1252.8</v>
      </c>
      <c r="F11" s="7">
        <f t="shared" si="13"/>
        <v>1252.8</v>
      </c>
      <c r="G11" s="7">
        <f t="shared" si="4"/>
        <v>2505.6</v>
      </c>
    </row>
    <row r="12">
      <c r="A12" s="8">
        <f t="shared" si="5"/>
        <v>11</v>
      </c>
      <c r="B12" s="17" t="s">
        <v>19</v>
      </c>
      <c r="C12" s="7">
        <v>14450.0</v>
      </c>
      <c r="D12" s="7">
        <f t="shared" si="2"/>
        <v>8670</v>
      </c>
      <c r="E12" s="7">
        <f t="shared" ref="E12:F12" si="14">if($D12&lt;15000,$D12*12/100,15000*12/100)</f>
        <v>1040.4</v>
      </c>
      <c r="F12" s="7">
        <f t="shared" si="14"/>
        <v>1040.4</v>
      </c>
      <c r="G12" s="7">
        <f t="shared" si="4"/>
        <v>2080.8</v>
      </c>
    </row>
    <row r="13">
      <c r="A13" s="8">
        <f t="shared" si="5"/>
        <v>12</v>
      </c>
      <c r="B13" s="17" t="s">
        <v>82</v>
      </c>
      <c r="C13" s="7">
        <v>26100.0</v>
      </c>
      <c r="D13" s="7">
        <f t="shared" si="2"/>
        <v>15660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23</v>
      </c>
      <c r="C15" s="7">
        <v>17700.0</v>
      </c>
      <c r="D15" s="7">
        <f t="shared" si="2"/>
        <v>10620</v>
      </c>
      <c r="E15" s="7">
        <f t="shared" ref="E15:F15" si="17">if($D15&lt;15000,$D15*12/100,15000*12/100)</f>
        <v>1274.4</v>
      </c>
      <c r="F15" s="7">
        <f t="shared" si="17"/>
        <v>1274.4</v>
      </c>
      <c r="G15" s="7">
        <f t="shared" si="4"/>
        <v>2548.8</v>
      </c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35</v>
      </c>
      <c r="C17" s="7">
        <v>4917.0</v>
      </c>
      <c r="D17" s="7">
        <f t="shared" si="2"/>
        <v>2950.2</v>
      </c>
      <c r="E17" s="7">
        <f t="shared" ref="E17:F17" si="19">if($D17&lt;15000,$D17*12/100,15000*12/100)</f>
        <v>354.024</v>
      </c>
      <c r="F17" s="7">
        <f t="shared" si="19"/>
        <v>354.024</v>
      </c>
      <c r="G17" s="7">
        <f t="shared" si="4"/>
        <v>708.048</v>
      </c>
    </row>
    <row r="18">
      <c r="A18" s="8">
        <f t="shared" si="5"/>
        <v>17</v>
      </c>
      <c r="B18" s="17" t="s">
        <v>26</v>
      </c>
      <c r="C18" s="7">
        <v>27000.0</v>
      </c>
      <c r="D18" s="7">
        <f t="shared" si="2"/>
        <v>16200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28</v>
      </c>
      <c r="C19" s="7">
        <v>12350.0</v>
      </c>
      <c r="D19" s="7">
        <f t="shared" si="2"/>
        <v>7410</v>
      </c>
      <c r="E19" s="7">
        <f t="shared" ref="E19:F19" si="21">if($D19&lt;15000,$D19*12/100,15000*12/100)</f>
        <v>889.2</v>
      </c>
      <c r="F19" s="7">
        <f t="shared" si="21"/>
        <v>889.2</v>
      </c>
      <c r="G19" s="7">
        <f t="shared" si="4"/>
        <v>1778.4</v>
      </c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</row>
    <row r="21">
      <c r="A21" s="8">
        <f t="shared" si="5"/>
        <v>20</v>
      </c>
      <c r="B21" s="17" t="s">
        <v>38</v>
      </c>
      <c r="C21" s="7">
        <v>21267.0</v>
      </c>
      <c r="D21" s="7">
        <f t="shared" si="2"/>
        <v>12760.2</v>
      </c>
      <c r="E21" s="7">
        <f t="shared" ref="E21:F21" si="23">if($D21&lt;15000,$D21*12/100,15000*12/100)</f>
        <v>1531.224</v>
      </c>
      <c r="F21" s="7">
        <f t="shared" si="23"/>
        <v>1531.224</v>
      </c>
      <c r="G21" s="7">
        <f t="shared" si="4"/>
        <v>3062.448</v>
      </c>
    </row>
    <row r="22">
      <c r="A22" s="8">
        <f t="shared" si="5"/>
        <v>21</v>
      </c>
      <c r="B22" s="17" t="s">
        <v>39</v>
      </c>
      <c r="C22" s="7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</row>
    <row r="23">
      <c r="A23" s="8">
        <f t="shared" si="5"/>
        <v>22</v>
      </c>
      <c r="B23" s="17" t="s">
        <v>83</v>
      </c>
      <c r="C23" s="7">
        <v>12000.0</v>
      </c>
      <c r="D23" s="7">
        <f t="shared" si="2"/>
        <v>7200</v>
      </c>
      <c r="E23" s="7">
        <f t="shared" ref="E23:F23" si="25">if($D23&lt;15000,$D23*12/100,15000*12/100)</f>
        <v>864</v>
      </c>
      <c r="F23" s="7">
        <f t="shared" si="25"/>
        <v>864</v>
      </c>
      <c r="G23" s="7">
        <f t="shared" si="4"/>
        <v>1728</v>
      </c>
    </row>
    <row r="24">
      <c r="A24" s="8">
        <f t="shared" si="5"/>
        <v>23</v>
      </c>
      <c r="B24" s="17" t="s">
        <v>84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</row>
    <row r="25">
      <c r="A25" s="8">
        <f t="shared" si="5"/>
        <v>24</v>
      </c>
      <c r="B25" s="17" t="s">
        <v>44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47</v>
      </c>
      <c r="C26" s="7">
        <v>14733.0</v>
      </c>
      <c r="D26" s="7">
        <f t="shared" si="2"/>
        <v>8839.8</v>
      </c>
      <c r="E26" s="7">
        <f t="shared" ref="E26:F26" si="28">if($D26&lt;15000,$D26*12/100,15000*12/100)</f>
        <v>1060.776</v>
      </c>
      <c r="F26" s="7">
        <f t="shared" si="28"/>
        <v>1060.776</v>
      </c>
      <c r="G26" s="7">
        <f t="shared" si="4"/>
        <v>2121.552</v>
      </c>
    </row>
    <row r="27">
      <c r="A27" s="8">
        <f t="shared" si="5"/>
        <v>26</v>
      </c>
      <c r="B27" s="17" t="s">
        <v>49</v>
      </c>
      <c r="C27" s="7">
        <v>15000.0</v>
      </c>
      <c r="D27" s="7">
        <f t="shared" si="2"/>
        <v>9000</v>
      </c>
      <c r="E27" s="7">
        <f t="shared" ref="E27:F27" si="29">if($D27&lt;15000,$D27*12/100,15000*12/100)</f>
        <v>1080</v>
      </c>
      <c r="F27" s="7">
        <f t="shared" si="29"/>
        <v>1080</v>
      </c>
      <c r="G27" s="7">
        <f t="shared" si="4"/>
        <v>2160</v>
      </c>
    </row>
    <row r="28">
      <c r="A28" s="8">
        <f t="shared" si="5"/>
        <v>27</v>
      </c>
      <c r="B28" s="17" t="s">
        <v>85</v>
      </c>
      <c r="C28" s="7">
        <v>22000.0</v>
      </c>
      <c r="D28" s="7">
        <f t="shared" si="2"/>
        <v>13200</v>
      </c>
      <c r="E28" s="7">
        <f t="shared" ref="E28:F28" si="30">if($D28&lt;15000,$D28*12/100,15000*12/100)</f>
        <v>1584</v>
      </c>
      <c r="F28" s="7">
        <f t="shared" si="30"/>
        <v>1584</v>
      </c>
      <c r="G28" s="7">
        <f t="shared" si="4"/>
        <v>3168</v>
      </c>
    </row>
    <row r="29">
      <c r="A29" s="8">
        <f t="shared" si="5"/>
        <v>28</v>
      </c>
      <c r="B29" s="17" t="s">
        <v>86</v>
      </c>
      <c r="C29" s="7">
        <v>17883.0</v>
      </c>
      <c r="D29" s="7">
        <f t="shared" si="2"/>
        <v>10729.8</v>
      </c>
      <c r="E29" s="7">
        <f t="shared" ref="E29:F29" si="31">if($D29&lt;15000,$D29*12/100,15000*12/100)</f>
        <v>1287.576</v>
      </c>
      <c r="F29" s="7">
        <f t="shared" si="31"/>
        <v>1287.576</v>
      </c>
      <c r="G29" s="7">
        <f t="shared" si="4"/>
        <v>2575.152</v>
      </c>
    </row>
    <row r="30">
      <c r="A30" s="8">
        <f t="shared" si="5"/>
        <v>29</v>
      </c>
      <c r="B30" s="17" t="s">
        <v>59</v>
      </c>
      <c r="C30" s="7">
        <v>5000.0</v>
      </c>
      <c r="D30" s="7">
        <f t="shared" si="2"/>
        <v>3000</v>
      </c>
      <c r="E30" s="7">
        <f t="shared" ref="E30:F30" si="32">if($D30&lt;15000,$D30*12/100,15000*12/100)</f>
        <v>360</v>
      </c>
      <c r="F30" s="7">
        <f t="shared" si="32"/>
        <v>360</v>
      </c>
      <c r="G30" s="7">
        <f t="shared" si="4"/>
        <v>720</v>
      </c>
    </row>
    <row r="31">
      <c r="A31" s="8">
        <f t="shared" si="5"/>
        <v>30</v>
      </c>
      <c r="B31" s="17" t="s">
        <v>60</v>
      </c>
      <c r="C31" s="7">
        <v>5400.0</v>
      </c>
      <c r="D31" s="7">
        <f t="shared" si="2"/>
        <v>3240</v>
      </c>
      <c r="E31" s="7">
        <f t="shared" ref="E31:F31" si="33">if($D31&lt;15000,$D31*12/100,15000*12/100)</f>
        <v>388.8</v>
      </c>
      <c r="F31" s="7">
        <f t="shared" si="33"/>
        <v>388.8</v>
      </c>
      <c r="G31" s="7">
        <f t="shared" si="4"/>
        <v>777.6</v>
      </c>
    </row>
    <row r="32">
      <c r="A32" s="8">
        <f t="shared" si="5"/>
        <v>31</v>
      </c>
      <c r="B32" s="17" t="s">
        <v>64</v>
      </c>
      <c r="C32" s="7">
        <v>15867.0</v>
      </c>
      <c r="D32" s="7">
        <f t="shared" si="2"/>
        <v>9520.2</v>
      </c>
      <c r="E32" s="7">
        <f t="shared" ref="E32:F32" si="34">if($D32&lt;15000,$D32*12/100,15000*12/100)</f>
        <v>1142.424</v>
      </c>
      <c r="F32" s="7">
        <f t="shared" si="34"/>
        <v>1142.424</v>
      </c>
      <c r="G32" s="7">
        <f t="shared" si="4"/>
        <v>2284.848</v>
      </c>
    </row>
    <row r="33">
      <c r="A33" s="8">
        <f t="shared" si="5"/>
        <v>32</v>
      </c>
      <c r="B33" s="17" t="s">
        <v>65</v>
      </c>
      <c r="C33" s="7">
        <v>16000.0</v>
      </c>
      <c r="D33" s="7">
        <f t="shared" si="2"/>
        <v>9600</v>
      </c>
      <c r="E33" s="7">
        <f t="shared" ref="E33:F33" si="35">if($D33&lt;15000,$D33*12/100,15000*12/100)</f>
        <v>1152</v>
      </c>
      <c r="F33" s="7">
        <f t="shared" si="35"/>
        <v>1152</v>
      </c>
      <c r="G33" s="7">
        <f t="shared" si="4"/>
        <v>2304</v>
      </c>
    </row>
    <row r="34">
      <c r="A34" s="8">
        <f t="shared" si="5"/>
        <v>33</v>
      </c>
      <c r="B34" s="18" t="s">
        <v>87</v>
      </c>
      <c r="C34" s="7">
        <v>14933.0</v>
      </c>
      <c r="D34" s="7">
        <f t="shared" si="2"/>
        <v>8959.8</v>
      </c>
      <c r="E34" s="7">
        <f t="shared" ref="E34:F34" si="36">if($D34&lt;15000,$D34*12/100,15000*12/100)</f>
        <v>1075.176</v>
      </c>
      <c r="F34" s="7">
        <f t="shared" si="36"/>
        <v>1075.176</v>
      </c>
      <c r="G34" s="7">
        <f t="shared" si="4"/>
        <v>2150.352</v>
      </c>
    </row>
    <row r="35">
      <c r="A35" s="8">
        <f t="shared" si="5"/>
        <v>34</v>
      </c>
      <c r="B35" s="18" t="s">
        <v>67</v>
      </c>
      <c r="C35" s="7">
        <v>22000.0</v>
      </c>
      <c r="D35" s="7">
        <f t="shared" si="2"/>
        <v>13200</v>
      </c>
      <c r="E35" s="7">
        <f t="shared" ref="E35:F35" si="37">if($D35&lt;15000,$D35*12/100,15000*12/100)</f>
        <v>1584</v>
      </c>
      <c r="F35" s="7">
        <f t="shared" si="37"/>
        <v>1584</v>
      </c>
      <c r="G35" s="7">
        <f t="shared" si="4"/>
        <v>3168</v>
      </c>
    </row>
    <row r="36">
      <c r="A36" s="8">
        <f t="shared" si="5"/>
        <v>35</v>
      </c>
      <c r="B36" s="18" t="s">
        <v>68</v>
      </c>
      <c r="C36" s="7">
        <v>5000.0</v>
      </c>
      <c r="D36" s="7">
        <f t="shared" si="2"/>
        <v>3000</v>
      </c>
      <c r="E36" s="7">
        <f t="shared" ref="E36:F36" si="38">if($D36&lt;15000,$D36*12/100,15000*12/100)</f>
        <v>360</v>
      </c>
      <c r="F36" s="7">
        <f t="shared" si="38"/>
        <v>360</v>
      </c>
      <c r="G36" s="7">
        <f t="shared" si="4"/>
        <v>720</v>
      </c>
    </row>
    <row r="37">
      <c r="A37" s="8">
        <f t="shared" si="5"/>
        <v>36</v>
      </c>
      <c r="B37" s="18" t="s">
        <v>69</v>
      </c>
      <c r="C37" s="19">
        <v>1800.0</v>
      </c>
      <c r="D37" s="7">
        <f t="shared" si="2"/>
        <v>1080</v>
      </c>
      <c r="E37" s="7">
        <f t="shared" ref="E37:F37" si="39">if($D37&lt;15000,$D37*12/100,15000*12/100)</f>
        <v>129.6</v>
      </c>
      <c r="F37" s="7">
        <f t="shared" si="39"/>
        <v>129.6</v>
      </c>
      <c r="G37" s="7">
        <f t="shared" si="4"/>
        <v>259.2</v>
      </c>
    </row>
    <row r="38">
      <c r="A38" s="8">
        <f t="shared" si="5"/>
        <v>37</v>
      </c>
      <c r="B38" s="16" t="s">
        <v>70</v>
      </c>
      <c r="C38" s="19">
        <v>11600.0</v>
      </c>
      <c r="D38" s="7">
        <f t="shared" si="2"/>
        <v>6960</v>
      </c>
      <c r="E38" s="7">
        <f t="shared" ref="E38:F38" si="40">if($D38&lt;15000,$D38*12/100,15000*12/100)</f>
        <v>835.2</v>
      </c>
      <c r="F38" s="7">
        <f t="shared" si="40"/>
        <v>835.2</v>
      </c>
      <c r="G38" s="7">
        <f t="shared" si="4"/>
        <v>1670.4</v>
      </c>
    </row>
    <row r="39">
      <c r="A39" s="8">
        <f t="shared" si="5"/>
        <v>38</v>
      </c>
      <c r="B39" s="16" t="s">
        <v>71</v>
      </c>
      <c r="C39" s="19">
        <v>25000.0</v>
      </c>
      <c r="D39" s="7">
        <f t="shared" si="2"/>
        <v>15000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16" t="s">
        <v>72</v>
      </c>
      <c r="C40" s="19">
        <v>35000.0</v>
      </c>
      <c r="D40" s="7">
        <f t="shared" si="2"/>
        <v>21000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16" t="s">
        <v>73</v>
      </c>
      <c r="C41" s="19">
        <v>32000.0</v>
      </c>
      <c r="D41" s="7">
        <f t="shared" si="2"/>
        <v>19200</v>
      </c>
      <c r="E41" s="7">
        <f t="shared" ref="E41:F41" si="43">if($D41&lt;15000,$D41*12/100,15000*12/100)</f>
        <v>1800</v>
      </c>
      <c r="F41" s="7">
        <f t="shared" si="43"/>
        <v>1800</v>
      </c>
      <c r="G41" s="7">
        <f t="shared" si="4"/>
        <v>3600</v>
      </c>
    </row>
    <row r="42">
      <c r="A42" s="8">
        <f t="shared" si="5"/>
        <v>41</v>
      </c>
      <c r="B42" s="16" t="s">
        <v>74</v>
      </c>
      <c r="C42" s="19">
        <v>24167.0</v>
      </c>
      <c r="D42" s="7">
        <f t="shared" si="2"/>
        <v>14500.2</v>
      </c>
      <c r="E42" s="7">
        <f t="shared" ref="E42:F42" si="44">if($D42&lt;15000,$D42*12/100,15000*12/100)</f>
        <v>1740.024</v>
      </c>
      <c r="F42" s="7">
        <f t="shared" si="44"/>
        <v>1740.024</v>
      </c>
      <c r="G42" s="7">
        <f t="shared" si="4"/>
        <v>3480.048</v>
      </c>
    </row>
    <row r="43">
      <c r="A43" s="8">
        <f t="shared" si="5"/>
        <v>42</v>
      </c>
      <c r="B43" s="16" t="s">
        <v>75</v>
      </c>
      <c r="C43" s="19">
        <v>19000.0</v>
      </c>
      <c r="D43" s="7">
        <f t="shared" si="2"/>
        <v>11400</v>
      </c>
      <c r="E43" s="7">
        <f t="shared" ref="E43:F43" si="45">if($D43&lt;15000,$D43*12/100,15000*12/100)</f>
        <v>1368</v>
      </c>
      <c r="F43" s="7">
        <f t="shared" si="45"/>
        <v>1368</v>
      </c>
      <c r="G43" s="7">
        <f t="shared" si="4"/>
        <v>2736</v>
      </c>
    </row>
    <row r="44">
      <c r="A44" s="8">
        <f t="shared" si="5"/>
        <v>43</v>
      </c>
      <c r="B44" s="16" t="s">
        <v>77</v>
      </c>
      <c r="C44" s="19">
        <v>19333.0</v>
      </c>
      <c r="D44" s="7">
        <f t="shared" si="2"/>
        <v>11599.8</v>
      </c>
      <c r="E44" s="7">
        <f t="shared" ref="E44:F44" si="46">if($D44&lt;15000,$D44*12/100,15000*12/100)</f>
        <v>1391.976</v>
      </c>
      <c r="F44" s="7">
        <f t="shared" si="46"/>
        <v>1391.976</v>
      </c>
      <c r="G44" s="7">
        <f t="shared" si="4"/>
        <v>2783.952</v>
      </c>
    </row>
    <row r="45">
      <c r="A45" s="8">
        <f t="shared" si="5"/>
        <v>44</v>
      </c>
      <c r="B45" s="16" t="s">
        <v>78</v>
      </c>
      <c r="C45" s="19">
        <v>8000.0</v>
      </c>
      <c r="D45" s="7">
        <f t="shared" si="2"/>
        <v>4800</v>
      </c>
      <c r="E45" s="7">
        <f t="shared" ref="E45:F45" si="47">if($D45&lt;15000,$D45*12/100,15000*12/100)</f>
        <v>576</v>
      </c>
      <c r="F45" s="7">
        <f t="shared" si="47"/>
        <v>576</v>
      </c>
      <c r="G45" s="7">
        <f t="shared" si="4"/>
        <v>1152</v>
      </c>
    </row>
    <row r="46">
      <c r="A46" s="8">
        <f t="shared" si="5"/>
        <v>45</v>
      </c>
      <c r="B46" s="16" t="s">
        <v>88</v>
      </c>
      <c r="C46" s="19">
        <v>22000.0</v>
      </c>
      <c r="D46" s="7">
        <f t="shared" si="2"/>
        <v>13200</v>
      </c>
      <c r="E46" s="7">
        <f t="shared" ref="E46:F46" si="48">if($D46&lt;15000,$D46*12/100,15000*12/100)</f>
        <v>1584</v>
      </c>
      <c r="F46" s="7">
        <f t="shared" si="48"/>
        <v>1584</v>
      </c>
      <c r="G46" s="7">
        <f t="shared" si="4"/>
        <v>3168</v>
      </c>
    </row>
    <row r="47">
      <c r="A47" s="8">
        <f t="shared" si="5"/>
        <v>46</v>
      </c>
      <c r="B47" s="16" t="s">
        <v>89</v>
      </c>
      <c r="C47" s="19">
        <v>17000.0</v>
      </c>
      <c r="D47" s="7">
        <f t="shared" si="2"/>
        <v>10200</v>
      </c>
      <c r="E47" s="7">
        <f t="shared" ref="E47:F47" si="49">if($D47&lt;15000,$D47*12/100,15000*12/100)</f>
        <v>1224</v>
      </c>
      <c r="F47" s="7">
        <f t="shared" si="49"/>
        <v>1224</v>
      </c>
      <c r="G47" s="7">
        <f t="shared" si="4"/>
        <v>2448</v>
      </c>
    </row>
    <row r="48">
      <c r="A48" s="8">
        <f t="shared" si="5"/>
        <v>47</v>
      </c>
      <c r="B48" s="16" t="s">
        <v>90</v>
      </c>
      <c r="C48" s="19">
        <v>17000.0</v>
      </c>
      <c r="D48" s="7">
        <f t="shared" si="2"/>
        <v>10200</v>
      </c>
      <c r="E48" s="7">
        <f t="shared" ref="E48:F48" si="50">if($D48&lt;15000,$D48*12/100,15000*12/100)</f>
        <v>1224</v>
      </c>
      <c r="F48" s="7">
        <f t="shared" si="50"/>
        <v>1224</v>
      </c>
      <c r="G48" s="7">
        <f t="shared" si="4"/>
        <v>2448</v>
      </c>
    </row>
    <row r="49">
      <c r="A49" s="8">
        <f t="shared" si="5"/>
        <v>48</v>
      </c>
      <c r="B49" s="16" t="s">
        <v>92</v>
      </c>
      <c r="C49" s="19">
        <v>34417.0</v>
      </c>
      <c r="D49" s="7">
        <f t="shared" si="2"/>
        <v>20650.2</v>
      </c>
      <c r="E49" s="7">
        <f t="shared" ref="E49:F49" si="51">if($D49&lt;15000,$D49*12/100,15000*12/100)</f>
        <v>1800</v>
      </c>
      <c r="F49" s="7">
        <f t="shared" si="51"/>
        <v>1800</v>
      </c>
      <c r="G49" s="7">
        <f t="shared" si="4"/>
        <v>3600</v>
      </c>
    </row>
    <row r="50">
      <c r="A50" s="8">
        <f t="shared" si="5"/>
        <v>49</v>
      </c>
      <c r="B50" s="16" t="s">
        <v>93</v>
      </c>
      <c r="C50" s="19">
        <v>16433.0</v>
      </c>
      <c r="D50" s="7">
        <f t="shared" si="2"/>
        <v>9859.8</v>
      </c>
      <c r="E50" s="7">
        <f t="shared" ref="E50:F50" si="52">if($D50&lt;15000,$D50*12/100,15000*12/100)</f>
        <v>1183.176</v>
      </c>
      <c r="F50" s="7">
        <f t="shared" si="52"/>
        <v>1183.176</v>
      </c>
      <c r="G50" s="7">
        <f t="shared" si="4"/>
        <v>2366.352</v>
      </c>
    </row>
    <row r="51">
      <c r="A51" s="8">
        <f t="shared" si="5"/>
        <v>50</v>
      </c>
      <c r="B51" s="16" t="s">
        <v>94</v>
      </c>
      <c r="C51" s="19">
        <v>22000.0</v>
      </c>
      <c r="D51" s="7">
        <f t="shared" si="2"/>
        <v>13200</v>
      </c>
      <c r="E51" s="7">
        <f t="shared" ref="E51:F51" si="53">if($D51&lt;15000,$D51*12/100,15000*12/100)</f>
        <v>1584</v>
      </c>
      <c r="F51" s="7">
        <f t="shared" si="53"/>
        <v>1584</v>
      </c>
      <c r="G51" s="7">
        <f t="shared" si="4"/>
        <v>3168</v>
      </c>
    </row>
    <row r="52">
      <c r="A52" s="8">
        <f t="shared" si="5"/>
        <v>51</v>
      </c>
      <c r="B52" s="16" t="s">
        <v>96</v>
      </c>
      <c r="C52" s="19">
        <v>23000.0</v>
      </c>
      <c r="D52" s="7">
        <f t="shared" si="2"/>
        <v>13800</v>
      </c>
      <c r="E52" s="7">
        <f t="shared" ref="E52:F52" si="54">if($D52&lt;15000,$D52*12/100,15000*12/100)</f>
        <v>1656</v>
      </c>
      <c r="F52" s="7">
        <f t="shared" si="54"/>
        <v>1656</v>
      </c>
      <c r="G52" s="7">
        <f t="shared" si="4"/>
        <v>3312</v>
      </c>
    </row>
    <row r="53">
      <c r="A53" s="8">
        <f t="shared" si="5"/>
        <v>52</v>
      </c>
      <c r="B53" s="16" t="s">
        <v>97</v>
      </c>
      <c r="C53" s="19">
        <v>13417.0</v>
      </c>
      <c r="D53" s="7">
        <f t="shared" si="2"/>
        <v>8050.2</v>
      </c>
      <c r="E53" s="7">
        <f t="shared" ref="E53:F53" si="55">if($D53&lt;15000,$D53*12/100,15000*12/100)</f>
        <v>966.024</v>
      </c>
      <c r="F53" s="7">
        <f t="shared" si="55"/>
        <v>966.024</v>
      </c>
      <c r="G53" s="7">
        <f t="shared" si="4"/>
        <v>1932.048</v>
      </c>
    </row>
    <row r="54">
      <c r="A54" s="8">
        <f t="shared" si="5"/>
        <v>53</v>
      </c>
      <c r="B54" s="16" t="s">
        <v>98</v>
      </c>
      <c r="C54" s="19">
        <v>11400.0</v>
      </c>
      <c r="D54" s="7">
        <f t="shared" si="2"/>
        <v>6840</v>
      </c>
      <c r="E54" s="7">
        <f t="shared" ref="E54:F54" si="56">if($D54&lt;15000,$D54*12/100,15000*12/100)</f>
        <v>820.8</v>
      </c>
      <c r="F54" s="7">
        <f t="shared" si="56"/>
        <v>820.8</v>
      </c>
      <c r="G54" s="7">
        <f t="shared" si="4"/>
        <v>1641.6</v>
      </c>
    </row>
    <row r="55">
      <c r="A55" s="8">
        <f t="shared" si="5"/>
        <v>54</v>
      </c>
      <c r="B55" s="16" t="s">
        <v>99</v>
      </c>
      <c r="C55" s="19">
        <v>2800.0</v>
      </c>
      <c r="D55" s="7">
        <f t="shared" si="2"/>
        <v>1680</v>
      </c>
      <c r="E55" s="7">
        <f t="shared" ref="E55:F55" si="57">if($D55&lt;15000,$D55*12/100,15000*12/100)</f>
        <v>201.6</v>
      </c>
      <c r="F55" s="7">
        <f t="shared" si="57"/>
        <v>201.6</v>
      </c>
      <c r="G55" s="7">
        <f t="shared" si="4"/>
        <v>403.2</v>
      </c>
    </row>
    <row r="56">
      <c r="A56" s="8">
        <f t="shared" si="5"/>
        <v>55</v>
      </c>
      <c r="B56" s="16" t="s">
        <v>30</v>
      </c>
      <c r="C56" s="19">
        <v>14000.0</v>
      </c>
      <c r="D56" s="7">
        <f t="shared" si="2"/>
        <v>8400</v>
      </c>
      <c r="E56" s="7">
        <f t="shared" ref="E56:F56" si="58">if($D56&lt;15000,$D56*12/100,15000*12/100)</f>
        <v>1008</v>
      </c>
      <c r="F56" s="7">
        <f t="shared" si="58"/>
        <v>1008</v>
      </c>
      <c r="G56" s="7">
        <f t="shared" si="4"/>
        <v>2016</v>
      </c>
    </row>
    <row r="57">
      <c r="A57" s="8">
        <f t="shared" si="5"/>
        <v>56</v>
      </c>
      <c r="B57" s="16" t="s">
        <v>31</v>
      </c>
      <c r="C57" s="19">
        <v>25000.0</v>
      </c>
      <c r="D57" s="7">
        <f t="shared" si="2"/>
        <v>15000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16" t="s">
        <v>32</v>
      </c>
      <c r="C58" s="1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16" t="s">
        <v>53</v>
      </c>
      <c r="C59" s="7">
        <v>16433.0</v>
      </c>
      <c r="D59" s="7">
        <f t="shared" si="2"/>
        <v>9859.8</v>
      </c>
      <c r="E59" s="7">
        <f t="shared" ref="E59:F59" si="61">if($D59&lt;15000,$D59*12/100,15000*12/100)</f>
        <v>1183.176</v>
      </c>
      <c r="F59" s="7">
        <f t="shared" si="61"/>
        <v>1183.176</v>
      </c>
      <c r="G59" s="7">
        <f t="shared" si="4"/>
        <v>2366.352</v>
      </c>
    </row>
    <row r="60">
      <c r="A60" s="8">
        <f t="shared" si="5"/>
        <v>59</v>
      </c>
      <c r="B60" s="16" t="s">
        <v>54</v>
      </c>
      <c r="C60" s="7">
        <v>17000.0</v>
      </c>
      <c r="D60" s="7">
        <f t="shared" si="2"/>
        <v>10200</v>
      </c>
      <c r="E60" s="7">
        <f t="shared" ref="E60:F60" si="62">if($D60&lt;15000,$D60*12/100,15000*12/100)</f>
        <v>1224</v>
      </c>
      <c r="F60" s="7">
        <f t="shared" si="62"/>
        <v>1224</v>
      </c>
      <c r="G60" s="7">
        <f t="shared" si="4"/>
        <v>2448</v>
      </c>
    </row>
    <row r="61">
      <c r="A61" s="8">
        <f t="shared" si="5"/>
        <v>60</v>
      </c>
      <c r="B61" s="16" t="s">
        <v>55</v>
      </c>
      <c r="C61" s="7">
        <v>8550.0</v>
      </c>
      <c r="D61" s="7">
        <f t="shared" si="2"/>
        <v>5130</v>
      </c>
      <c r="E61" s="7">
        <f t="shared" ref="E61:F61" si="63">if($D61&lt;15000,$D61*12/100,15000*12/100)</f>
        <v>615.6</v>
      </c>
      <c r="F61" s="7">
        <f t="shared" si="63"/>
        <v>615.6</v>
      </c>
      <c r="G61" s="7">
        <f t="shared" si="4"/>
        <v>1231.2</v>
      </c>
    </row>
    <row r="62">
      <c r="A62" s="8">
        <f t="shared" si="5"/>
        <v>61</v>
      </c>
      <c r="B62" s="16" t="s">
        <v>61</v>
      </c>
      <c r="C62" s="7">
        <v>28000.0</v>
      </c>
      <c r="D62" s="7">
        <f t="shared" si="2"/>
        <v>16800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16" t="s">
        <v>63</v>
      </c>
      <c r="C63" s="7">
        <v>21467.0</v>
      </c>
      <c r="D63" s="7">
        <f t="shared" si="2"/>
        <v>12880.2</v>
      </c>
      <c r="E63" s="7">
        <f t="shared" ref="E63:F63" si="65">if($D63&lt;15000,$D63*12/100,15000*12/100)</f>
        <v>1545.624</v>
      </c>
      <c r="F63" s="7">
        <f t="shared" si="65"/>
        <v>1545.624</v>
      </c>
      <c r="G63" s="7">
        <f t="shared" si="4"/>
        <v>3091.248</v>
      </c>
    </row>
    <row r="64">
      <c r="A64" s="9" t="s">
        <v>34</v>
      </c>
      <c r="B64" s="10"/>
      <c r="C64" s="11">
        <f t="shared" ref="C64:G64" si="66">sum(C2:C63)</f>
        <v>1232984</v>
      </c>
      <c r="D64" s="11">
        <f t="shared" si="66"/>
        <v>739790.4</v>
      </c>
      <c r="E64" s="11">
        <f t="shared" si="66"/>
        <v>78969.6</v>
      </c>
      <c r="F64" s="11">
        <f t="shared" si="66"/>
        <v>78969.6</v>
      </c>
      <c r="G64" s="11">
        <f t="shared" si="66"/>
        <v>157939.2</v>
      </c>
    </row>
  </sheetData>
  <mergeCells count="1">
    <mergeCell ref="A64:B64"/>
  </mergeCells>
  <hyperlinks>
    <hyperlink r:id="rId1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7</v>
      </c>
      <c r="C2" s="7">
        <v>70000.0</v>
      </c>
      <c r="D2" s="7">
        <f t="shared" ref="D2:D60" si="2">C2*60/100</f>
        <v>42000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0" si="4">E2+F2</f>
        <v>3600</v>
      </c>
    </row>
    <row r="3">
      <c r="A3" s="8">
        <f t="shared" ref="A3:A60" si="5">A2+1</f>
        <v>2</v>
      </c>
      <c r="B3" s="17" t="s">
        <v>8</v>
      </c>
      <c r="C3" s="7">
        <v>50000.0</v>
      </c>
      <c r="D3" s="7">
        <f t="shared" si="2"/>
        <v>30000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95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79</v>
      </c>
      <c r="C5" s="7">
        <v>20000.0</v>
      </c>
      <c r="D5" s="7">
        <f t="shared" si="2"/>
        <v>12000</v>
      </c>
      <c r="E5" s="7">
        <f t="shared" ref="E5:F5" si="7">if($D5&lt;15000,$D5*12/100,15000*12/100)</f>
        <v>1440</v>
      </c>
      <c r="F5" s="7">
        <f t="shared" si="7"/>
        <v>1440</v>
      </c>
      <c r="G5" s="7">
        <f t="shared" si="4"/>
        <v>2880</v>
      </c>
    </row>
    <row r="6">
      <c r="A6" s="8">
        <f t="shared" si="5"/>
        <v>5</v>
      </c>
      <c r="B6" s="17" t="s">
        <v>10</v>
      </c>
      <c r="C6" s="7">
        <v>30000.0</v>
      </c>
      <c r="D6" s="7">
        <f t="shared" si="2"/>
        <v>18000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80</v>
      </c>
      <c r="C7" s="7">
        <v>26000.0</v>
      </c>
      <c r="D7" s="7">
        <f t="shared" si="2"/>
        <v>15600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13</v>
      </c>
      <c r="C8" s="7">
        <v>20000.0</v>
      </c>
      <c r="D8" s="7">
        <f t="shared" si="2"/>
        <v>12000</v>
      </c>
      <c r="E8" s="7">
        <f t="shared" ref="E8:F8" si="10">if($D8&lt;15000,$D8*12/100,15000*12/100)</f>
        <v>1440</v>
      </c>
      <c r="F8" s="7">
        <f t="shared" si="10"/>
        <v>1440</v>
      </c>
      <c r="G8" s="7">
        <f t="shared" si="4"/>
        <v>2880</v>
      </c>
    </row>
    <row r="9">
      <c r="A9" s="8">
        <f t="shared" si="5"/>
        <v>8</v>
      </c>
      <c r="B9" s="17" t="s">
        <v>16</v>
      </c>
      <c r="C9" s="7">
        <v>15169.0</v>
      </c>
      <c r="D9" s="7">
        <f t="shared" si="2"/>
        <v>9101.4</v>
      </c>
      <c r="E9" s="7">
        <f t="shared" ref="E9:F9" si="11">if($D9&lt;15000,$D9*12/100,15000*12/100)</f>
        <v>1092.168</v>
      </c>
      <c r="F9" s="7">
        <f t="shared" si="11"/>
        <v>1092.168</v>
      </c>
      <c r="G9" s="7">
        <f t="shared" si="4"/>
        <v>2184.336</v>
      </c>
    </row>
    <row r="10">
      <c r="A10" s="8">
        <f t="shared" si="5"/>
        <v>9</v>
      </c>
      <c r="B10" s="17" t="s">
        <v>17</v>
      </c>
      <c r="C10" s="7">
        <v>21000.0</v>
      </c>
      <c r="D10" s="7">
        <f t="shared" si="2"/>
        <v>12600</v>
      </c>
      <c r="E10" s="7">
        <f t="shared" ref="E10:F10" si="12">if($D10&lt;15000,$D10*12/100,15000*12/100)</f>
        <v>1512</v>
      </c>
      <c r="F10" s="7">
        <f t="shared" si="12"/>
        <v>1512</v>
      </c>
      <c r="G10" s="7">
        <f t="shared" si="4"/>
        <v>3024</v>
      </c>
    </row>
    <row r="11">
      <c r="A11" s="8">
        <f t="shared" si="5"/>
        <v>10</v>
      </c>
      <c r="B11" s="17" t="s">
        <v>81</v>
      </c>
      <c r="C11" s="7">
        <v>18000.0</v>
      </c>
      <c r="D11" s="7">
        <f t="shared" si="2"/>
        <v>10800</v>
      </c>
      <c r="E11" s="7">
        <f t="shared" ref="E11:F11" si="13">if($D11&lt;15000,$D11*12/100,15000*12/100)</f>
        <v>1296</v>
      </c>
      <c r="F11" s="7">
        <f t="shared" si="13"/>
        <v>1296</v>
      </c>
      <c r="G11" s="7">
        <f t="shared" si="4"/>
        <v>2592</v>
      </c>
    </row>
    <row r="12">
      <c r="A12" s="8">
        <f t="shared" si="5"/>
        <v>11</v>
      </c>
      <c r="B12" s="17" t="s">
        <v>19</v>
      </c>
      <c r="C12" s="7">
        <v>17000.0</v>
      </c>
      <c r="D12" s="7">
        <f t="shared" si="2"/>
        <v>10200</v>
      </c>
      <c r="E12" s="7">
        <f t="shared" ref="E12:F12" si="14">if($D12&lt;15000,$D12*12/100,15000*12/100)</f>
        <v>1224</v>
      </c>
      <c r="F12" s="7">
        <f t="shared" si="14"/>
        <v>1224</v>
      </c>
      <c r="G12" s="7">
        <f t="shared" si="4"/>
        <v>2448</v>
      </c>
    </row>
    <row r="13">
      <c r="A13" s="8">
        <f t="shared" si="5"/>
        <v>12</v>
      </c>
      <c r="B13" s="17" t="s">
        <v>82</v>
      </c>
      <c r="C13" s="7">
        <v>27000.0</v>
      </c>
      <c r="D13" s="7">
        <f t="shared" si="2"/>
        <v>16200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22</v>
      </c>
      <c r="C14" s="7">
        <v>30000.0</v>
      </c>
      <c r="D14" s="7">
        <f t="shared" si="2"/>
        <v>18000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23</v>
      </c>
      <c r="C15" s="7">
        <v>18000.0</v>
      </c>
      <c r="D15" s="7">
        <f t="shared" si="2"/>
        <v>10800</v>
      </c>
      <c r="E15" s="7">
        <f t="shared" ref="E15:F15" si="17">if($D15&lt;15000,$D15*12/100,15000*12/100)</f>
        <v>1296</v>
      </c>
      <c r="F15" s="7">
        <f t="shared" si="17"/>
        <v>1296</v>
      </c>
      <c r="G15" s="7">
        <f t="shared" si="4"/>
        <v>2592</v>
      </c>
    </row>
    <row r="16">
      <c r="A16" s="8">
        <f t="shared" si="5"/>
        <v>15</v>
      </c>
      <c r="B16" s="17" t="s">
        <v>24</v>
      </c>
      <c r="C16" s="7">
        <v>25000.0</v>
      </c>
      <c r="D16" s="7">
        <f t="shared" si="2"/>
        <v>15000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35</v>
      </c>
      <c r="C17" s="7">
        <v>5000.0</v>
      </c>
      <c r="D17" s="7">
        <f t="shared" si="2"/>
        <v>3000</v>
      </c>
      <c r="E17" s="7">
        <f t="shared" ref="E17:F17" si="19">if($D17&lt;15000,$D17*12/100,15000*12/100)</f>
        <v>360</v>
      </c>
      <c r="F17" s="7">
        <f t="shared" si="19"/>
        <v>360</v>
      </c>
      <c r="G17" s="7">
        <f t="shared" si="4"/>
        <v>720</v>
      </c>
    </row>
    <row r="18">
      <c r="A18" s="8">
        <f t="shared" si="5"/>
        <v>17</v>
      </c>
      <c r="B18" s="17" t="s">
        <v>26</v>
      </c>
      <c r="C18" s="7">
        <v>27000.0</v>
      </c>
      <c r="D18" s="7">
        <f t="shared" si="2"/>
        <v>16200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28</v>
      </c>
      <c r="C19" s="7">
        <v>13000.0</v>
      </c>
      <c r="D19" s="7">
        <f t="shared" si="2"/>
        <v>7800</v>
      </c>
      <c r="E19" s="7">
        <f t="shared" ref="E19:F19" si="21">if($D19&lt;15000,$D19*12/100,15000*12/100)</f>
        <v>936</v>
      </c>
      <c r="F19" s="7">
        <f t="shared" si="21"/>
        <v>936</v>
      </c>
      <c r="G19" s="7">
        <f t="shared" si="4"/>
        <v>1872</v>
      </c>
    </row>
    <row r="20">
      <c r="A20" s="8">
        <f t="shared" si="5"/>
        <v>19</v>
      </c>
      <c r="B20" s="17" t="s">
        <v>36</v>
      </c>
      <c r="C20" s="7">
        <v>22000.0</v>
      </c>
      <c r="D20" s="7">
        <f t="shared" si="2"/>
        <v>13200</v>
      </c>
      <c r="E20" s="7">
        <f t="shared" ref="E20:F20" si="22">if($D20&lt;15000,$D20*12/100,15000*12/100)</f>
        <v>1584</v>
      </c>
      <c r="F20" s="7">
        <f t="shared" si="22"/>
        <v>1584</v>
      </c>
      <c r="G20" s="7">
        <f t="shared" si="4"/>
        <v>3168</v>
      </c>
    </row>
    <row r="21">
      <c r="A21" s="8">
        <f t="shared" si="5"/>
        <v>20</v>
      </c>
      <c r="B21" s="17" t="s">
        <v>38</v>
      </c>
      <c r="C21" s="7">
        <v>22000.0</v>
      </c>
      <c r="D21" s="7">
        <f t="shared" si="2"/>
        <v>13200</v>
      </c>
      <c r="E21" s="7">
        <f t="shared" ref="E21:F21" si="23">if($D21&lt;15000,$D21*12/100,15000*12/100)</f>
        <v>1584</v>
      </c>
      <c r="F21" s="7">
        <f t="shared" si="23"/>
        <v>1584</v>
      </c>
      <c r="G21" s="7">
        <f t="shared" si="4"/>
        <v>3168</v>
      </c>
    </row>
    <row r="22">
      <c r="A22" s="8">
        <f t="shared" si="5"/>
        <v>21</v>
      </c>
      <c r="B22" s="17" t="s">
        <v>39</v>
      </c>
      <c r="C22" s="7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</row>
    <row r="23">
      <c r="A23" s="8">
        <f t="shared" si="5"/>
        <v>22</v>
      </c>
      <c r="B23" s="17" t="s">
        <v>83</v>
      </c>
      <c r="C23" s="7">
        <v>12000.0</v>
      </c>
      <c r="D23" s="7">
        <f t="shared" si="2"/>
        <v>7200</v>
      </c>
      <c r="E23" s="7">
        <f t="shared" ref="E23:F23" si="25">if($D23&lt;15000,$D23*12/100,15000*12/100)</f>
        <v>864</v>
      </c>
      <c r="F23" s="7">
        <f t="shared" si="25"/>
        <v>864</v>
      </c>
      <c r="G23" s="7">
        <f t="shared" si="4"/>
        <v>1728</v>
      </c>
    </row>
    <row r="24">
      <c r="A24" s="8">
        <f t="shared" si="5"/>
        <v>23</v>
      </c>
      <c r="B24" s="17" t="s">
        <v>84</v>
      </c>
      <c r="C24" s="7">
        <v>12000.0</v>
      </c>
      <c r="D24" s="7">
        <f t="shared" si="2"/>
        <v>7200</v>
      </c>
      <c r="E24" s="7">
        <f t="shared" ref="E24:F24" si="26">if($D24&lt;15000,$D24*12/100,15000*12/100)</f>
        <v>864</v>
      </c>
      <c r="F24" s="7">
        <f t="shared" si="26"/>
        <v>864</v>
      </c>
      <c r="G24" s="7">
        <f t="shared" si="4"/>
        <v>1728</v>
      </c>
    </row>
    <row r="25">
      <c r="A25" s="8">
        <f t="shared" si="5"/>
        <v>24</v>
      </c>
      <c r="B25" s="17" t="s">
        <v>44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47</v>
      </c>
      <c r="C26" s="7">
        <v>16452.0</v>
      </c>
      <c r="D26" s="7">
        <f t="shared" si="2"/>
        <v>9871.2</v>
      </c>
      <c r="E26" s="7">
        <f t="shared" ref="E26:F26" si="28">if($D26&lt;15000,$D26*12/100,15000*12/100)</f>
        <v>1184.544</v>
      </c>
      <c r="F26" s="7">
        <f t="shared" si="28"/>
        <v>1184.544</v>
      </c>
      <c r="G26" s="7">
        <f t="shared" si="4"/>
        <v>2369.088</v>
      </c>
    </row>
    <row r="27">
      <c r="A27" s="8">
        <f t="shared" si="5"/>
        <v>26</v>
      </c>
      <c r="B27" s="17" t="s">
        <v>49</v>
      </c>
      <c r="C27" s="7">
        <v>14516.0</v>
      </c>
      <c r="D27" s="7">
        <f t="shared" si="2"/>
        <v>8709.6</v>
      </c>
      <c r="E27" s="7">
        <f t="shared" ref="E27:F27" si="29">if($D27&lt;15000,$D27*12/100,15000*12/100)</f>
        <v>1045.152</v>
      </c>
      <c r="F27" s="7">
        <f t="shared" si="29"/>
        <v>1045.152</v>
      </c>
      <c r="G27" s="7">
        <f t="shared" si="4"/>
        <v>2090.304</v>
      </c>
    </row>
    <row r="28">
      <c r="A28" s="8">
        <f t="shared" si="5"/>
        <v>27</v>
      </c>
      <c r="B28" s="17" t="s">
        <v>85</v>
      </c>
      <c r="C28" s="7">
        <v>22000.0</v>
      </c>
      <c r="D28" s="7">
        <f t="shared" si="2"/>
        <v>13200</v>
      </c>
      <c r="E28" s="7">
        <f t="shared" ref="E28:F28" si="30">if($D28&lt;15000,$D28*12/100,15000*12/100)</f>
        <v>1584</v>
      </c>
      <c r="F28" s="7">
        <f t="shared" si="30"/>
        <v>1584</v>
      </c>
      <c r="G28" s="7">
        <f t="shared" si="4"/>
        <v>3168</v>
      </c>
    </row>
    <row r="29">
      <c r="A29" s="8">
        <f t="shared" si="5"/>
        <v>28</v>
      </c>
      <c r="B29" s="17" t="s">
        <v>86</v>
      </c>
      <c r="C29" s="7">
        <v>18500.0</v>
      </c>
      <c r="D29" s="7">
        <f t="shared" si="2"/>
        <v>11100</v>
      </c>
      <c r="E29" s="7">
        <f t="shared" ref="E29:F29" si="31">if($D29&lt;15000,$D29*12/100,15000*12/100)</f>
        <v>1332</v>
      </c>
      <c r="F29" s="7">
        <f t="shared" si="31"/>
        <v>1332</v>
      </c>
      <c r="G29" s="7">
        <f t="shared" si="4"/>
        <v>2664</v>
      </c>
    </row>
    <row r="30">
      <c r="A30" s="8">
        <f t="shared" si="5"/>
        <v>29</v>
      </c>
      <c r="B30" s="17" t="s">
        <v>60</v>
      </c>
      <c r="C30" s="7">
        <v>6000.0</v>
      </c>
      <c r="D30" s="7">
        <f t="shared" si="2"/>
        <v>3600</v>
      </c>
      <c r="E30" s="7">
        <f t="shared" ref="E30:F30" si="32">if($D30&lt;15000,$D30*12/100,15000*12/100)</f>
        <v>432</v>
      </c>
      <c r="F30" s="7">
        <f t="shared" si="32"/>
        <v>432</v>
      </c>
      <c r="G30" s="7">
        <f t="shared" si="4"/>
        <v>864</v>
      </c>
    </row>
    <row r="31">
      <c r="A31" s="8">
        <f t="shared" si="5"/>
        <v>30</v>
      </c>
      <c r="B31" s="17" t="s">
        <v>64</v>
      </c>
      <c r="C31" s="7">
        <v>16726.0</v>
      </c>
      <c r="D31" s="7">
        <f t="shared" si="2"/>
        <v>10035.6</v>
      </c>
      <c r="E31" s="7">
        <f t="shared" ref="E31:F31" si="33">if($D31&lt;15000,$D31*12/100,15000*12/100)</f>
        <v>1204.272</v>
      </c>
      <c r="F31" s="7">
        <f t="shared" si="33"/>
        <v>1204.272</v>
      </c>
      <c r="G31" s="7">
        <f t="shared" si="4"/>
        <v>2408.544</v>
      </c>
    </row>
    <row r="32">
      <c r="A32" s="8">
        <f t="shared" si="5"/>
        <v>31</v>
      </c>
      <c r="B32" s="17" t="s">
        <v>65</v>
      </c>
      <c r="C32" s="7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17" t="s">
        <v>87</v>
      </c>
      <c r="C33" s="7">
        <v>16000.0</v>
      </c>
      <c r="D33" s="7">
        <f t="shared" si="2"/>
        <v>9600</v>
      </c>
      <c r="E33" s="7">
        <f t="shared" ref="E33:F33" si="35">if($D33&lt;15000,$D33*12/100,15000*12/100)</f>
        <v>1152</v>
      </c>
      <c r="F33" s="7">
        <f t="shared" si="35"/>
        <v>1152</v>
      </c>
      <c r="G33" s="7">
        <f t="shared" si="4"/>
        <v>2304</v>
      </c>
    </row>
    <row r="34">
      <c r="A34" s="8">
        <f t="shared" si="5"/>
        <v>33</v>
      </c>
      <c r="B34" s="18" t="s">
        <v>67</v>
      </c>
      <c r="C34" s="7">
        <v>21645.0</v>
      </c>
      <c r="D34" s="7">
        <f t="shared" si="2"/>
        <v>12987</v>
      </c>
      <c r="E34" s="7">
        <f t="shared" ref="E34:F34" si="36">if($D34&lt;15000,$D34*12/100,15000*12/100)</f>
        <v>1558.44</v>
      </c>
      <c r="F34" s="7">
        <f t="shared" si="36"/>
        <v>1558.44</v>
      </c>
      <c r="G34" s="7">
        <f t="shared" si="4"/>
        <v>3116.88</v>
      </c>
    </row>
    <row r="35">
      <c r="A35" s="8">
        <f t="shared" si="5"/>
        <v>34</v>
      </c>
      <c r="B35" s="18" t="s">
        <v>68</v>
      </c>
      <c r="C35" s="7">
        <v>5000.0</v>
      </c>
      <c r="D35" s="7">
        <f t="shared" si="2"/>
        <v>3000</v>
      </c>
      <c r="E35" s="7">
        <f t="shared" ref="E35:F35" si="37">if($D35&lt;15000,$D35*12/100,15000*12/100)</f>
        <v>360</v>
      </c>
      <c r="F35" s="7">
        <f t="shared" si="37"/>
        <v>360</v>
      </c>
      <c r="G35" s="7">
        <f t="shared" si="4"/>
        <v>720</v>
      </c>
    </row>
    <row r="36">
      <c r="A36" s="8">
        <f t="shared" si="5"/>
        <v>35</v>
      </c>
      <c r="B36" s="18" t="s">
        <v>70</v>
      </c>
      <c r="C36" s="7">
        <v>12000.0</v>
      </c>
      <c r="D36" s="7">
        <f t="shared" si="2"/>
        <v>7200</v>
      </c>
      <c r="E36" s="7">
        <f t="shared" ref="E36:F36" si="38">if($D36&lt;15000,$D36*12/100,15000*12/100)</f>
        <v>864</v>
      </c>
      <c r="F36" s="7">
        <f t="shared" si="38"/>
        <v>864</v>
      </c>
      <c r="G36" s="7">
        <f t="shared" si="4"/>
        <v>1728</v>
      </c>
    </row>
    <row r="37">
      <c r="A37" s="8">
        <f t="shared" si="5"/>
        <v>36</v>
      </c>
      <c r="B37" s="18" t="s">
        <v>71</v>
      </c>
      <c r="C37" s="19">
        <v>25000.0</v>
      </c>
      <c r="D37" s="7">
        <f t="shared" si="2"/>
        <v>15000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72</v>
      </c>
      <c r="C38" s="19">
        <v>35000.0</v>
      </c>
      <c r="D38" s="7">
        <f t="shared" si="2"/>
        <v>21000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73</v>
      </c>
      <c r="C39" s="19">
        <v>32000.0</v>
      </c>
      <c r="D39" s="7">
        <f t="shared" si="2"/>
        <v>19200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16" t="s">
        <v>74</v>
      </c>
      <c r="C40" s="19">
        <v>25000.0</v>
      </c>
      <c r="D40" s="7">
        <f t="shared" si="2"/>
        <v>15000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16" t="s">
        <v>75</v>
      </c>
      <c r="C41" s="19">
        <v>20000.0</v>
      </c>
      <c r="D41" s="7">
        <f t="shared" si="2"/>
        <v>12000</v>
      </c>
      <c r="E41" s="7">
        <f t="shared" ref="E41:F41" si="43">if($D41&lt;15000,$D41*12/100,15000*12/100)</f>
        <v>1440</v>
      </c>
      <c r="F41" s="7">
        <f t="shared" si="43"/>
        <v>1440</v>
      </c>
      <c r="G41" s="7">
        <f t="shared" si="4"/>
        <v>2880</v>
      </c>
    </row>
    <row r="42">
      <c r="A42" s="8">
        <f t="shared" si="5"/>
        <v>41</v>
      </c>
      <c r="B42" s="16" t="s">
        <v>77</v>
      </c>
      <c r="C42" s="19">
        <v>18710.0</v>
      </c>
      <c r="D42" s="7">
        <f t="shared" si="2"/>
        <v>11226</v>
      </c>
      <c r="E42" s="7">
        <f t="shared" ref="E42:F42" si="44">if($D42&lt;15000,$D42*12/100,15000*12/100)</f>
        <v>1347.12</v>
      </c>
      <c r="F42" s="7">
        <f t="shared" si="44"/>
        <v>1347.12</v>
      </c>
      <c r="G42" s="7">
        <f t="shared" si="4"/>
        <v>2694.24</v>
      </c>
    </row>
    <row r="43">
      <c r="A43" s="8">
        <f t="shared" si="5"/>
        <v>42</v>
      </c>
      <c r="B43" s="16" t="s">
        <v>78</v>
      </c>
      <c r="C43" s="19">
        <v>8000.0</v>
      </c>
      <c r="D43" s="7">
        <f t="shared" si="2"/>
        <v>4800</v>
      </c>
      <c r="E43" s="7">
        <f t="shared" ref="E43:F43" si="45">if($D43&lt;15000,$D43*12/100,15000*12/100)</f>
        <v>576</v>
      </c>
      <c r="F43" s="7">
        <f t="shared" si="45"/>
        <v>576</v>
      </c>
      <c r="G43" s="7">
        <f t="shared" si="4"/>
        <v>1152</v>
      </c>
    </row>
    <row r="44">
      <c r="A44" s="8">
        <f t="shared" si="5"/>
        <v>43</v>
      </c>
      <c r="B44" s="16" t="s">
        <v>88</v>
      </c>
      <c r="C44" s="19">
        <v>22000.0</v>
      </c>
      <c r="D44" s="7">
        <f t="shared" si="2"/>
        <v>13200</v>
      </c>
      <c r="E44" s="7">
        <f t="shared" ref="E44:F44" si="46">if($D44&lt;15000,$D44*12/100,15000*12/100)</f>
        <v>1584</v>
      </c>
      <c r="F44" s="7">
        <f t="shared" si="46"/>
        <v>1584</v>
      </c>
      <c r="G44" s="7">
        <f t="shared" si="4"/>
        <v>3168</v>
      </c>
    </row>
    <row r="45">
      <c r="A45" s="8">
        <f t="shared" si="5"/>
        <v>44</v>
      </c>
      <c r="B45" s="16" t="s">
        <v>89</v>
      </c>
      <c r="C45" s="19">
        <v>16726.0</v>
      </c>
      <c r="D45" s="7">
        <f t="shared" si="2"/>
        <v>10035.6</v>
      </c>
      <c r="E45" s="7">
        <f t="shared" ref="E45:F45" si="47">if($D45&lt;15000,$D45*12/100,15000*12/100)</f>
        <v>1204.272</v>
      </c>
      <c r="F45" s="7">
        <f t="shared" si="47"/>
        <v>1204.272</v>
      </c>
      <c r="G45" s="7">
        <f t="shared" si="4"/>
        <v>2408.544</v>
      </c>
    </row>
    <row r="46">
      <c r="A46" s="8">
        <f t="shared" si="5"/>
        <v>45</v>
      </c>
      <c r="B46" s="16" t="s">
        <v>90</v>
      </c>
      <c r="C46" s="19">
        <v>17000.0</v>
      </c>
      <c r="D46" s="7">
        <f t="shared" si="2"/>
        <v>10200</v>
      </c>
      <c r="E46" s="7">
        <f t="shared" ref="E46:F46" si="48">if($D46&lt;15000,$D46*12/100,15000*12/100)</f>
        <v>1224</v>
      </c>
      <c r="F46" s="7">
        <f t="shared" si="48"/>
        <v>1224</v>
      </c>
      <c r="G46" s="7">
        <f t="shared" si="4"/>
        <v>2448</v>
      </c>
    </row>
    <row r="47">
      <c r="A47" s="8">
        <f t="shared" si="5"/>
        <v>46</v>
      </c>
      <c r="B47" s="16" t="s">
        <v>92</v>
      </c>
      <c r="C47" s="19">
        <v>35000.0</v>
      </c>
      <c r="D47" s="7">
        <f t="shared" si="2"/>
        <v>21000</v>
      </c>
      <c r="E47" s="7">
        <f t="shared" ref="E47:F47" si="49">if($D47&lt;15000,$D47*12/100,15000*12/100)</f>
        <v>1800</v>
      </c>
      <c r="F47" s="7">
        <f t="shared" si="49"/>
        <v>1800</v>
      </c>
      <c r="G47" s="7">
        <f t="shared" si="4"/>
        <v>3600</v>
      </c>
    </row>
    <row r="48">
      <c r="A48" s="8">
        <f t="shared" si="5"/>
        <v>47</v>
      </c>
      <c r="B48" s="16" t="s">
        <v>93</v>
      </c>
      <c r="C48" s="19">
        <v>17000.0</v>
      </c>
      <c r="D48" s="7">
        <f t="shared" si="2"/>
        <v>10200</v>
      </c>
      <c r="E48" s="7">
        <f t="shared" ref="E48:F48" si="50">if($D48&lt;15000,$D48*12/100,15000*12/100)</f>
        <v>1224</v>
      </c>
      <c r="F48" s="7">
        <f t="shared" si="50"/>
        <v>1224</v>
      </c>
      <c r="G48" s="7">
        <f t="shared" si="4"/>
        <v>2448</v>
      </c>
    </row>
    <row r="49">
      <c r="A49" s="8">
        <f t="shared" si="5"/>
        <v>48</v>
      </c>
      <c r="B49" s="16" t="s">
        <v>94</v>
      </c>
      <c r="C49" s="19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16" t="s">
        <v>96</v>
      </c>
      <c r="C50" s="19">
        <v>21516.0</v>
      </c>
      <c r="D50" s="7">
        <f t="shared" si="2"/>
        <v>12909.6</v>
      </c>
      <c r="E50" s="7">
        <f t="shared" ref="E50:F50" si="52">if($D50&lt;15000,$D50*12/100,15000*12/100)</f>
        <v>1549.152</v>
      </c>
      <c r="F50" s="7">
        <f t="shared" si="52"/>
        <v>1549.152</v>
      </c>
      <c r="G50" s="7">
        <f t="shared" si="4"/>
        <v>3098.304</v>
      </c>
    </row>
    <row r="51">
      <c r="A51" s="8">
        <f t="shared" si="5"/>
        <v>50</v>
      </c>
      <c r="B51" s="16" t="s">
        <v>97</v>
      </c>
      <c r="C51" s="19">
        <v>23000.0</v>
      </c>
      <c r="D51" s="7">
        <f t="shared" si="2"/>
        <v>13800</v>
      </c>
      <c r="E51" s="7">
        <f t="shared" ref="E51:F51" si="53">if($D51&lt;15000,$D51*12/100,15000*12/100)</f>
        <v>1656</v>
      </c>
      <c r="F51" s="7">
        <f t="shared" si="53"/>
        <v>1656</v>
      </c>
      <c r="G51" s="7">
        <f t="shared" si="4"/>
        <v>3312</v>
      </c>
    </row>
    <row r="52">
      <c r="A52" s="8">
        <f t="shared" si="5"/>
        <v>51</v>
      </c>
      <c r="B52" s="16" t="s">
        <v>98</v>
      </c>
      <c r="C52" s="19">
        <v>18000.0</v>
      </c>
      <c r="D52" s="7">
        <f t="shared" si="2"/>
        <v>10800</v>
      </c>
      <c r="E52" s="7">
        <f t="shared" ref="E52:F52" si="54">if($D52&lt;15000,$D52*12/100,15000*12/100)</f>
        <v>1296</v>
      </c>
      <c r="F52" s="7">
        <f t="shared" si="54"/>
        <v>1296</v>
      </c>
      <c r="G52" s="7">
        <f t="shared" si="4"/>
        <v>2592</v>
      </c>
    </row>
    <row r="53">
      <c r="A53" s="8">
        <f t="shared" si="5"/>
        <v>52</v>
      </c>
      <c r="B53" s="16" t="s">
        <v>99</v>
      </c>
      <c r="C53" s="19">
        <v>21000.0</v>
      </c>
      <c r="D53" s="7">
        <f t="shared" si="2"/>
        <v>12600</v>
      </c>
      <c r="E53" s="7">
        <f t="shared" ref="E53:F53" si="55">if($D53&lt;15000,$D53*12/100,15000*12/100)</f>
        <v>1512</v>
      </c>
      <c r="F53" s="7">
        <f t="shared" si="55"/>
        <v>1512</v>
      </c>
      <c r="G53" s="7">
        <f t="shared" si="4"/>
        <v>3024</v>
      </c>
    </row>
    <row r="54">
      <c r="A54" s="8">
        <f t="shared" si="5"/>
        <v>53</v>
      </c>
      <c r="B54" s="16" t="s">
        <v>30</v>
      </c>
      <c r="C54" s="19">
        <v>14000.0</v>
      </c>
      <c r="D54" s="7">
        <f t="shared" si="2"/>
        <v>8400</v>
      </c>
      <c r="E54" s="7">
        <f t="shared" ref="E54:F54" si="56">if($D54&lt;15000,$D54*12/100,15000*12/100)</f>
        <v>1008</v>
      </c>
      <c r="F54" s="7">
        <f t="shared" si="56"/>
        <v>1008</v>
      </c>
      <c r="G54" s="7">
        <f t="shared" si="4"/>
        <v>2016</v>
      </c>
    </row>
    <row r="55">
      <c r="A55" s="8">
        <f t="shared" si="5"/>
        <v>54</v>
      </c>
      <c r="B55" s="16" t="s">
        <v>31</v>
      </c>
      <c r="C55" s="19">
        <v>25000.0</v>
      </c>
      <c r="D55" s="7">
        <f t="shared" si="2"/>
        <v>15000</v>
      </c>
      <c r="E55" s="7">
        <f t="shared" ref="E55:F55" si="57">if($D55&lt;15000,$D55*12/100,15000*12/100)</f>
        <v>1800</v>
      </c>
      <c r="F55" s="7">
        <f t="shared" si="57"/>
        <v>1800</v>
      </c>
      <c r="G55" s="7">
        <f t="shared" si="4"/>
        <v>3600</v>
      </c>
    </row>
    <row r="56">
      <c r="A56" s="8">
        <f t="shared" si="5"/>
        <v>55</v>
      </c>
      <c r="B56" s="16" t="s">
        <v>32</v>
      </c>
      <c r="C56" s="19">
        <v>20000.0</v>
      </c>
      <c r="D56" s="7">
        <f t="shared" si="2"/>
        <v>12000</v>
      </c>
      <c r="E56" s="7">
        <f t="shared" ref="E56:F56" si="58">if($D56&lt;15000,$D56*12/100,15000*12/100)</f>
        <v>1440</v>
      </c>
      <c r="F56" s="7">
        <f t="shared" si="58"/>
        <v>1440</v>
      </c>
      <c r="G56" s="7">
        <f t="shared" si="4"/>
        <v>2880</v>
      </c>
    </row>
    <row r="57">
      <c r="A57" s="8">
        <f t="shared" si="5"/>
        <v>56</v>
      </c>
      <c r="B57" s="16" t="s">
        <v>53</v>
      </c>
      <c r="C57" s="19">
        <v>17000.0</v>
      </c>
      <c r="D57" s="7">
        <f t="shared" si="2"/>
        <v>10200</v>
      </c>
      <c r="E57" s="7">
        <f t="shared" ref="E57:F57" si="59">if($D57&lt;15000,$D57*12/100,15000*12/100)</f>
        <v>1224</v>
      </c>
      <c r="F57" s="7">
        <f t="shared" si="59"/>
        <v>1224</v>
      </c>
      <c r="G57" s="7">
        <f t="shared" si="4"/>
        <v>2448</v>
      </c>
    </row>
    <row r="58">
      <c r="A58" s="8">
        <f t="shared" si="5"/>
        <v>57</v>
      </c>
      <c r="B58" s="16" t="s">
        <v>54</v>
      </c>
      <c r="C58" s="19">
        <v>17000.0</v>
      </c>
      <c r="D58" s="7">
        <f t="shared" si="2"/>
        <v>10200</v>
      </c>
      <c r="E58" s="7">
        <f t="shared" ref="E58:F58" si="60">if($D58&lt;15000,$D58*12/100,15000*12/100)</f>
        <v>1224</v>
      </c>
      <c r="F58" s="7">
        <f t="shared" si="60"/>
        <v>1224</v>
      </c>
      <c r="G58" s="7">
        <f t="shared" si="4"/>
        <v>2448</v>
      </c>
    </row>
    <row r="59">
      <c r="A59" s="8">
        <f t="shared" si="5"/>
        <v>58</v>
      </c>
      <c r="B59" s="16" t="s">
        <v>55</v>
      </c>
      <c r="C59" s="7">
        <v>8419.0</v>
      </c>
      <c r="D59" s="7">
        <f t="shared" si="2"/>
        <v>5051.4</v>
      </c>
      <c r="E59" s="7">
        <f t="shared" ref="E59:F59" si="61">if($D59&lt;15000,$D59*12/100,15000*12/100)</f>
        <v>606.168</v>
      </c>
      <c r="F59" s="7">
        <f t="shared" si="61"/>
        <v>606.168</v>
      </c>
      <c r="G59" s="7">
        <f t="shared" si="4"/>
        <v>1212.336</v>
      </c>
    </row>
    <row r="60">
      <c r="A60" s="8">
        <f t="shared" si="5"/>
        <v>59</v>
      </c>
      <c r="B60" s="16" t="s">
        <v>63</v>
      </c>
      <c r="C60" s="7">
        <v>23000.0</v>
      </c>
      <c r="D60" s="7">
        <f t="shared" si="2"/>
        <v>13800</v>
      </c>
      <c r="E60" s="7">
        <f t="shared" ref="E60:F60" si="62">if($D60&lt;15000,$D60*12/100,15000*12/100)</f>
        <v>1656</v>
      </c>
      <c r="F60" s="7">
        <f t="shared" si="62"/>
        <v>1656</v>
      </c>
      <c r="G60" s="7">
        <f t="shared" si="4"/>
        <v>3312</v>
      </c>
    </row>
    <row r="61">
      <c r="A61" s="9" t="s">
        <v>34</v>
      </c>
      <c r="B61" s="10"/>
      <c r="C61" s="11">
        <f t="shared" ref="C61:G61" si="63">sum(C2:C60)</f>
        <v>1261379</v>
      </c>
      <c r="D61" s="11">
        <f t="shared" si="63"/>
        <v>756827.4</v>
      </c>
      <c r="E61" s="11">
        <f t="shared" si="63"/>
        <v>79875.288</v>
      </c>
      <c r="F61" s="11">
        <f t="shared" si="63"/>
        <v>79875.288</v>
      </c>
      <c r="G61" s="11">
        <f t="shared" si="63"/>
        <v>159750.576</v>
      </c>
    </row>
  </sheetData>
  <mergeCells count="1">
    <mergeCell ref="A61:B61"/>
  </mergeCells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0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0" si="4">E2+F2</f>
        <v>3600</v>
      </c>
    </row>
    <row r="3">
      <c r="A3" s="8">
        <f t="shared" ref="A3:A60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62903.0</v>
      </c>
      <c r="D4" s="7">
        <f t="shared" si="2"/>
        <v>37741.8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13887.0</v>
      </c>
      <c r="D9" s="7">
        <f t="shared" si="2"/>
        <v>8332.2</v>
      </c>
      <c r="E9" s="7">
        <f t="shared" ref="E9:F9" si="11">if($D9&lt;15000,$D9*12/100,15000*12/100)</f>
        <v>999.864</v>
      </c>
      <c r="F9" s="7">
        <f t="shared" si="11"/>
        <v>999.864</v>
      </c>
      <c r="G9" s="7">
        <f t="shared" si="4"/>
        <v>1999.728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33000.0</v>
      </c>
      <c r="D14" s="7">
        <f t="shared" si="2"/>
        <v>19800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113</v>
      </c>
      <c r="C15" s="7">
        <v>19984.0</v>
      </c>
      <c r="D15" s="7">
        <f t="shared" si="2"/>
        <v>11990.4</v>
      </c>
      <c r="E15" s="7">
        <f t="shared" ref="E15:F15" si="17">if($D15&lt;15000,$D15*12/100,15000*12/100)</f>
        <v>1438.848</v>
      </c>
      <c r="F15" s="7">
        <f t="shared" si="17"/>
        <v>1438.848</v>
      </c>
      <c r="G15" s="7">
        <f t="shared" si="4"/>
        <v>2877.696</v>
      </c>
    </row>
    <row r="16">
      <c r="A16" s="8">
        <f t="shared" si="5"/>
        <v>15</v>
      </c>
      <c r="B16" s="17" t="s">
        <v>114</v>
      </c>
      <c r="C16" s="7">
        <v>25290.0</v>
      </c>
      <c r="D16" s="7">
        <f t="shared" si="2"/>
        <v>15174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115</v>
      </c>
      <c r="C17" s="7">
        <v>8419.0</v>
      </c>
      <c r="D17" s="7">
        <f t="shared" si="2"/>
        <v>5051.4</v>
      </c>
      <c r="E17" s="7">
        <f t="shared" ref="E17:F17" si="19">if($D17&lt;15000,$D17*12/100,15000*12/100)</f>
        <v>606.168</v>
      </c>
      <c r="F17" s="7">
        <f t="shared" si="19"/>
        <v>606.168</v>
      </c>
      <c r="G17" s="7">
        <f t="shared" si="4"/>
        <v>1212.336</v>
      </c>
    </row>
    <row r="18">
      <c r="A18" s="8">
        <f t="shared" si="5"/>
        <v>17</v>
      </c>
      <c r="B18" s="17" t="s">
        <v>116</v>
      </c>
      <c r="C18" s="7">
        <v>30000.0</v>
      </c>
      <c r="D18" s="7">
        <f t="shared" si="2"/>
        <v>18000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117</v>
      </c>
      <c r="C19" s="7">
        <v>16726.0</v>
      </c>
      <c r="D19" s="7">
        <f t="shared" si="2"/>
        <v>10035.6</v>
      </c>
      <c r="E19" s="7">
        <f t="shared" ref="E19:F19" si="21">if($D19&lt;15000,$D19*12/100,15000*12/100)</f>
        <v>1204.272</v>
      </c>
      <c r="F19" s="7">
        <f t="shared" si="21"/>
        <v>1204.272</v>
      </c>
      <c r="G19" s="7">
        <f t="shared" si="4"/>
        <v>2408.544</v>
      </c>
    </row>
    <row r="20">
      <c r="A20" s="8">
        <f t="shared" si="5"/>
        <v>19</v>
      </c>
      <c r="B20" s="17" t="s">
        <v>118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119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120</v>
      </c>
      <c r="C22" s="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17" t="s">
        <v>121</v>
      </c>
      <c r="C23" s="7">
        <v>15742.0</v>
      </c>
      <c r="D23" s="7">
        <f t="shared" si="2"/>
        <v>9445.2</v>
      </c>
      <c r="E23" s="7">
        <f t="shared" ref="E23:F23" si="25">if($D23&lt;15000,$D23*12/100,15000*12/100)</f>
        <v>1133.424</v>
      </c>
      <c r="F23" s="7">
        <f t="shared" si="25"/>
        <v>1133.424</v>
      </c>
      <c r="G23" s="7">
        <f t="shared" si="4"/>
        <v>2266.848</v>
      </c>
    </row>
    <row r="24">
      <c r="A24" s="8">
        <f t="shared" si="5"/>
        <v>23</v>
      </c>
      <c r="B24" s="17" t="s">
        <v>122</v>
      </c>
      <c r="C24" s="7">
        <v>15484.0</v>
      </c>
      <c r="D24" s="7">
        <f t="shared" si="2"/>
        <v>9290.4</v>
      </c>
      <c r="E24" s="7">
        <f t="shared" ref="E24:F24" si="26">if($D24&lt;15000,$D24*12/100,15000*12/100)</f>
        <v>1114.848</v>
      </c>
      <c r="F24" s="7">
        <f t="shared" si="26"/>
        <v>1114.848</v>
      </c>
      <c r="G24" s="7">
        <f t="shared" si="4"/>
        <v>2229.696</v>
      </c>
    </row>
    <row r="25">
      <c r="A25" s="8">
        <f t="shared" si="5"/>
        <v>24</v>
      </c>
      <c r="B25" s="17" t="s">
        <v>123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124</v>
      </c>
      <c r="C26" s="7">
        <v>13548.0</v>
      </c>
      <c r="D26" s="7">
        <f t="shared" si="2"/>
        <v>8128.8</v>
      </c>
      <c r="E26" s="7">
        <f t="shared" ref="E26:F26" si="28">if($D26&lt;15000,$D26*12/100,15000*12/100)</f>
        <v>975.456</v>
      </c>
      <c r="F26" s="7">
        <f t="shared" si="28"/>
        <v>975.456</v>
      </c>
      <c r="G26" s="7">
        <f t="shared" si="4"/>
        <v>1950.912</v>
      </c>
    </row>
    <row r="27">
      <c r="A27" s="8">
        <f t="shared" si="5"/>
        <v>26</v>
      </c>
      <c r="B27" s="17" t="s">
        <v>125</v>
      </c>
      <c r="C27" s="7">
        <v>18000.0</v>
      </c>
      <c r="D27" s="7">
        <f t="shared" si="2"/>
        <v>10800</v>
      </c>
      <c r="E27" s="7">
        <f t="shared" ref="E27:F27" si="29">if($D27&lt;15000,$D27*12/100,15000*12/100)</f>
        <v>1296</v>
      </c>
      <c r="F27" s="7">
        <f t="shared" si="29"/>
        <v>1296</v>
      </c>
      <c r="G27" s="7">
        <f t="shared" si="4"/>
        <v>2592</v>
      </c>
    </row>
    <row r="28">
      <c r="A28" s="8">
        <f t="shared" si="5"/>
        <v>27</v>
      </c>
      <c r="B28" s="17" t="s">
        <v>126</v>
      </c>
      <c r="C28" s="7">
        <v>22581.0</v>
      </c>
      <c r="D28" s="7">
        <f t="shared" si="2"/>
        <v>13548.6</v>
      </c>
      <c r="E28" s="7">
        <f t="shared" ref="E28:F28" si="30">if($D28&lt;15000,$D28*12/100,15000*12/100)</f>
        <v>1625.832</v>
      </c>
      <c r="F28" s="7">
        <f t="shared" si="30"/>
        <v>1625.832</v>
      </c>
      <c r="G28" s="7">
        <f t="shared" si="4"/>
        <v>3251.664</v>
      </c>
    </row>
    <row r="29">
      <c r="A29" s="8">
        <f t="shared" si="5"/>
        <v>28</v>
      </c>
      <c r="B29" s="17" t="s">
        <v>127</v>
      </c>
      <c r="C29" s="7">
        <v>21000.0</v>
      </c>
      <c r="D29" s="7">
        <f t="shared" si="2"/>
        <v>12600</v>
      </c>
      <c r="E29" s="7">
        <f t="shared" ref="E29:F29" si="31">if($D29&lt;15000,$D29*12/100,15000*12/100)</f>
        <v>1512</v>
      </c>
      <c r="F29" s="7">
        <f t="shared" si="31"/>
        <v>1512</v>
      </c>
      <c r="G29" s="7">
        <f t="shared" si="4"/>
        <v>3024</v>
      </c>
    </row>
    <row r="30">
      <c r="A30" s="8">
        <f t="shared" si="5"/>
        <v>29</v>
      </c>
      <c r="B30" s="17" t="s">
        <v>128</v>
      </c>
      <c r="C30" s="7">
        <v>6000.0</v>
      </c>
      <c r="D30" s="7">
        <f t="shared" si="2"/>
        <v>3600</v>
      </c>
      <c r="E30" s="7">
        <f t="shared" ref="E30:F30" si="32">if($D30&lt;15000,$D30*12/100,15000*12/100)</f>
        <v>432</v>
      </c>
      <c r="F30" s="7">
        <f t="shared" si="32"/>
        <v>432</v>
      </c>
      <c r="G30" s="7">
        <f t="shared" si="4"/>
        <v>864</v>
      </c>
    </row>
    <row r="31">
      <c r="A31" s="8">
        <f t="shared" si="5"/>
        <v>30</v>
      </c>
      <c r="B31" s="17" t="s">
        <v>129</v>
      </c>
      <c r="C31" s="7">
        <v>17000.0</v>
      </c>
      <c r="D31" s="7">
        <f t="shared" si="2"/>
        <v>10200</v>
      </c>
      <c r="E31" s="7">
        <f t="shared" ref="E31:F31" si="33">if($D31&lt;15000,$D31*12/100,15000*12/100)</f>
        <v>1224</v>
      </c>
      <c r="F31" s="7">
        <f t="shared" si="33"/>
        <v>1224</v>
      </c>
      <c r="G31" s="7">
        <f t="shared" si="4"/>
        <v>2448</v>
      </c>
    </row>
    <row r="32">
      <c r="A32" s="8">
        <f t="shared" si="5"/>
        <v>31</v>
      </c>
      <c r="B32" s="17" t="s">
        <v>130</v>
      </c>
      <c r="C32" s="7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17" t="s">
        <v>131</v>
      </c>
      <c r="C33" s="7">
        <v>15484.0</v>
      </c>
      <c r="D33" s="7">
        <f t="shared" si="2"/>
        <v>9290.4</v>
      </c>
      <c r="E33" s="7">
        <f t="shared" ref="E33:F33" si="35">if($D33&lt;15000,$D33*12/100,15000*12/100)</f>
        <v>1114.848</v>
      </c>
      <c r="F33" s="7">
        <f t="shared" si="35"/>
        <v>1114.848</v>
      </c>
      <c r="G33" s="7">
        <f t="shared" si="4"/>
        <v>2229.696</v>
      </c>
    </row>
    <row r="34">
      <c r="A34" s="8">
        <f t="shared" si="5"/>
        <v>33</v>
      </c>
      <c r="B34" s="18" t="s">
        <v>132</v>
      </c>
      <c r="C34" s="7">
        <v>22000.0</v>
      </c>
      <c r="D34" s="7">
        <f t="shared" si="2"/>
        <v>13200</v>
      </c>
      <c r="E34" s="7">
        <f t="shared" ref="E34:F34" si="36">if($D34&lt;15000,$D34*12/100,15000*12/100)</f>
        <v>1584</v>
      </c>
      <c r="F34" s="7">
        <f t="shared" si="36"/>
        <v>1584</v>
      </c>
      <c r="G34" s="7">
        <f t="shared" si="4"/>
        <v>3168</v>
      </c>
    </row>
    <row r="35">
      <c r="A35" s="8">
        <f t="shared" si="5"/>
        <v>34</v>
      </c>
      <c r="B35" s="18" t="s">
        <v>133</v>
      </c>
      <c r="C35" s="7">
        <v>9000.0</v>
      </c>
      <c r="D35" s="7">
        <f t="shared" si="2"/>
        <v>5400</v>
      </c>
      <c r="E35" s="7">
        <f t="shared" ref="E35:F35" si="37">if($D35&lt;15000,$D35*12/100,15000*12/100)</f>
        <v>648</v>
      </c>
      <c r="F35" s="7">
        <f t="shared" si="37"/>
        <v>648</v>
      </c>
      <c r="G35" s="7">
        <f t="shared" si="4"/>
        <v>1296</v>
      </c>
    </row>
    <row r="36">
      <c r="A36" s="8">
        <f t="shared" si="5"/>
        <v>35</v>
      </c>
      <c r="B36" s="18" t="s">
        <v>134</v>
      </c>
      <c r="C36" s="7">
        <v>12000.0</v>
      </c>
      <c r="D36" s="7">
        <f t="shared" si="2"/>
        <v>7200</v>
      </c>
      <c r="E36" s="7">
        <f t="shared" ref="E36:F36" si="38">if($D36&lt;15000,$D36*12/100,15000*12/100)</f>
        <v>864</v>
      </c>
      <c r="F36" s="7">
        <f t="shared" si="38"/>
        <v>864</v>
      </c>
      <c r="G36" s="7">
        <f t="shared" si="4"/>
        <v>1728</v>
      </c>
    </row>
    <row r="37">
      <c r="A37" s="8">
        <f t="shared" si="5"/>
        <v>36</v>
      </c>
      <c r="B37" s="18" t="s">
        <v>135</v>
      </c>
      <c r="C37" s="19">
        <v>24597.0</v>
      </c>
      <c r="D37" s="7">
        <f t="shared" si="2"/>
        <v>14758.2</v>
      </c>
      <c r="E37" s="7">
        <f t="shared" ref="E37:F37" si="39">if($D37&lt;15000,$D37*12/100,15000*12/100)</f>
        <v>1770.984</v>
      </c>
      <c r="F37" s="7">
        <f t="shared" si="39"/>
        <v>1770.984</v>
      </c>
      <c r="G37" s="7">
        <f t="shared" si="4"/>
        <v>3541.968</v>
      </c>
    </row>
    <row r="38">
      <c r="A38" s="8">
        <f t="shared" si="5"/>
        <v>37</v>
      </c>
      <c r="B38" s="16" t="s">
        <v>136</v>
      </c>
      <c r="C38" s="19">
        <v>35000.0</v>
      </c>
      <c r="D38" s="7">
        <f t="shared" si="2"/>
        <v>21000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137</v>
      </c>
      <c r="C39" s="19">
        <v>32000.0</v>
      </c>
      <c r="D39" s="7">
        <f t="shared" si="2"/>
        <v>19200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16" t="s">
        <v>138</v>
      </c>
      <c r="C40" s="19">
        <v>25000.0</v>
      </c>
      <c r="D40" s="7">
        <f t="shared" si="2"/>
        <v>15000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16" t="s">
        <v>139</v>
      </c>
      <c r="C41" s="19">
        <v>19677.0</v>
      </c>
      <c r="D41" s="7">
        <f t="shared" si="2"/>
        <v>11806.2</v>
      </c>
      <c r="E41" s="7">
        <f t="shared" ref="E41:F41" si="43">if($D41&lt;15000,$D41*12/100,15000*12/100)</f>
        <v>1416.744</v>
      </c>
      <c r="F41" s="7">
        <f t="shared" si="43"/>
        <v>1416.744</v>
      </c>
      <c r="G41" s="7">
        <f t="shared" si="4"/>
        <v>2833.488</v>
      </c>
    </row>
    <row r="42">
      <c r="A42" s="8">
        <f t="shared" si="5"/>
        <v>41</v>
      </c>
      <c r="B42" s="16" t="s">
        <v>140</v>
      </c>
      <c r="C42" s="19">
        <v>19355.0</v>
      </c>
      <c r="D42" s="7">
        <f t="shared" si="2"/>
        <v>11613</v>
      </c>
      <c r="E42" s="7">
        <f t="shared" ref="E42:F42" si="44">if($D42&lt;15000,$D42*12/100,15000*12/100)</f>
        <v>1393.56</v>
      </c>
      <c r="F42" s="7">
        <f t="shared" si="44"/>
        <v>1393.56</v>
      </c>
      <c r="G42" s="7">
        <f t="shared" si="4"/>
        <v>2787.12</v>
      </c>
    </row>
    <row r="43">
      <c r="A43" s="8">
        <f t="shared" si="5"/>
        <v>42</v>
      </c>
      <c r="B43" s="16" t="s">
        <v>141</v>
      </c>
      <c r="C43" s="19">
        <v>8000.0</v>
      </c>
      <c r="D43" s="7">
        <f t="shared" si="2"/>
        <v>4800</v>
      </c>
      <c r="E43" s="7">
        <f t="shared" ref="E43:F43" si="45">if($D43&lt;15000,$D43*12/100,15000*12/100)</f>
        <v>576</v>
      </c>
      <c r="F43" s="7">
        <f t="shared" si="45"/>
        <v>576</v>
      </c>
      <c r="G43" s="7">
        <f t="shared" si="4"/>
        <v>1152</v>
      </c>
    </row>
    <row r="44">
      <c r="A44" s="8">
        <f t="shared" si="5"/>
        <v>43</v>
      </c>
      <c r="B44" s="16" t="s">
        <v>142</v>
      </c>
      <c r="C44" s="19">
        <v>21290.0</v>
      </c>
      <c r="D44" s="7">
        <f t="shared" si="2"/>
        <v>12774</v>
      </c>
      <c r="E44" s="7">
        <f t="shared" ref="E44:F44" si="46">if($D44&lt;15000,$D44*12/100,15000*12/100)</f>
        <v>1532.88</v>
      </c>
      <c r="F44" s="7">
        <f t="shared" si="46"/>
        <v>1532.88</v>
      </c>
      <c r="G44" s="7">
        <f t="shared" si="4"/>
        <v>3065.76</v>
      </c>
    </row>
    <row r="45">
      <c r="A45" s="8">
        <f t="shared" si="5"/>
        <v>44</v>
      </c>
      <c r="B45" s="16" t="s">
        <v>143</v>
      </c>
      <c r="C45" s="19">
        <v>17000.0</v>
      </c>
      <c r="D45" s="7">
        <f t="shared" si="2"/>
        <v>10200</v>
      </c>
      <c r="E45" s="7">
        <f t="shared" ref="E45:F45" si="47">if($D45&lt;15000,$D45*12/100,15000*12/100)</f>
        <v>1224</v>
      </c>
      <c r="F45" s="7">
        <f t="shared" si="47"/>
        <v>1224</v>
      </c>
      <c r="G45" s="7">
        <f t="shared" si="4"/>
        <v>2448</v>
      </c>
    </row>
    <row r="46">
      <c r="A46" s="8">
        <f t="shared" si="5"/>
        <v>45</v>
      </c>
      <c r="B46" s="16" t="s">
        <v>144</v>
      </c>
      <c r="C46" s="19">
        <v>17000.0</v>
      </c>
      <c r="D46" s="7">
        <f t="shared" si="2"/>
        <v>10200</v>
      </c>
      <c r="E46" s="7">
        <f t="shared" ref="E46:F46" si="48">if($D46&lt;15000,$D46*12/100,15000*12/100)</f>
        <v>1224</v>
      </c>
      <c r="F46" s="7">
        <f t="shared" si="48"/>
        <v>1224</v>
      </c>
      <c r="G46" s="7">
        <f t="shared" si="4"/>
        <v>2448</v>
      </c>
    </row>
    <row r="47">
      <c r="A47" s="8">
        <f t="shared" si="5"/>
        <v>46</v>
      </c>
      <c r="B47" s="16" t="s">
        <v>145</v>
      </c>
      <c r="C47" s="19">
        <v>33871.0</v>
      </c>
      <c r="D47" s="7">
        <f t="shared" si="2"/>
        <v>20322.6</v>
      </c>
      <c r="E47" s="7">
        <f t="shared" ref="E47:F47" si="49">if($D47&lt;15000,$D47*12/100,15000*12/100)</f>
        <v>1800</v>
      </c>
      <c r="F47" s="7">
        <f t="shared" si="49"/>
        <v>1800</v>
      </c>
      <c r="G47" s="7">
        <f t="shared" si="4"/>
        <v>3600</v>
      </c>
    </row>
    <row r="48">
      <c r="A48" s="8">
        <f t="shared" si="5"/>
        <v>47</v>
      </c>
      <c r="B48" s="16" t="s">
        <v>146</v>
      </c>
      <c r="C48" s="19">
        <v>17000.0</v>
      </c>
      <c r="D48" s="7">
        <f t="shared" si="2"/>
        <v>10200</v>
      </c>
      <c r="E48" s="7">
        <f t="shared" ref="E48:F48" si="50">if($D48&lt;15000,$D48*12/100,15000*12/100)</f>
        <v>1224</v>
      </c>
      <c r="F48" s="7">
        <f t="shared" si="50"/>
        <v>1224</v>
      </c>
      <c r="G48" s="7">
        <f t="shared" si="4"/>
        <v>2448</v>
      </c>
    </row>
    <row r="49">
      <c r="A49" s="8">
        <f t="shared" si="5"/>
        <v>48</v>
      </c>
      <c r="B49" s="16" t="s">
        <v>147</v>
      </c>
      <c r="C49" s="19">
        <v>21290.0</v>
      </c>
      <c r="D49" s="7">
        <f t="shared" si="2"/>
        <v>12774</v>
      </c>
      <c r="E49" s="7">
        <f t="shared" ref="E49:F49" si="51">if($D49&lt;15000,$D49*12/100,15000*12/100)</f>
        <v>1532.88</v>
      </c>
      <c r="F49" s="7">
        <f t="shared" si="51"/>
        <v>1532.88</v>
      </c>
      <c r="G49" s="7">
        <f t="shared" si="4"/>
        <v>3065.76</v>
      </c>
    </row>
    <row r="50">
      <c r="A50" s="8">
        <f t="shared" si="5"/>
        <v>49</v>
      </c>
      <c r="B50" s="16" t="s">
        <v>148</v>
      </c>
      <c r="C50" s="19">
        <v>22629.0</v>
      </c>
      <c r="D50" s="7">
        <f t="shared" si="2"/>
        <v>13577.4</v>
      </c>
      <c r="E50" s="7">
        <f t="shared" ref="E50:F50" si="52">if($D50&lt;15000,$D50*12/100,15000*12/100)</f>
        <v>1629.288</v>
      </c>
      <c r="F50" s="7">
        <f t="shared" si="52"/>
        <v>1629.288</v>
      </c>
      <c r="G50" s="7">
        <f t="shared" si="4"/>
        <v>3258.576</v>
      </c>
    </row>
    <row r="51">
      <c r="A51" s="8">
        <f t="shared" si="5"/>
        <v>50</v>
      </c>
      <c r="B51" s="16" t="s">
        <v>149</v>
      </c>
      <c r="C51" s="19">
        <v>22258.0</v>
      </c>
      <c r="D51" s="7">
        <f t="shared" si="2"/>
        <v>13354.8</v>
      </c>
      <c r="E51" s="7">
        <f t="shared" ref="E51:F51" si="53">if($D51&lt;15000,$D51*12/100,15000*12/100)</f>
        <v>1602.576</v>
      </c>
      <c r="F51" s="7">
        <f t="shared" si="53"/>
        <v>1602.576</v>
      </c>
      <c r="G51" s="7">
        <f t="shared" si="4"/>
        <v>3205.152</v>
      </c>
    </row>
    <row r="52">
      <c r="A52" s="8">
        <f t="shared" si="5"/>
        <v>51</v>
      </c>
      <c r="B52" s="16" t="s">
        <v>150</v>
      </c>
      <c r="C52" s="19">
        <v>18000.0</v>
      </c>
      <c r="D52" s="7">
        <f t="shared" si="2"/>
        <v>10800</v>
      </c>
      <c r="E52" s="7">
        <f t="shared" ref="E52:F52" si="54">if($D52&lt;15000,$D52*12/100,15000*12/100)</f>
        <v>1296</v>
      </c>
      <c r="F52" s="7">
        <f t="shared" si="54"/>
        <v>1296</v>
      </c>
      <c r="G52" s="7">
        <f t="shared" si="4"/>
        <v>2592</v>
      </c>
    </row>
    <row r="53">
      <c r="A53" s="8">
        <f t="shared" si="5"/>
        <v>52</v>
      </c>
      <c r="B53" s="16" t="s">
        <v>151</v>
      </c>
      <c r="C53" s="19">
        <v>21000.0</v>
      </c>
      <c r="D53" s="7">
        <f t="shared" si="2"/>
        <v>12600</v>
      </c>
      <c r="E53" s="7">
        <f t="shared" ref="E53:F53" si="55">if($D53&lt;15000,$D53*12/100,15000*12/100)</f>
        <v>1512</v>
      </c>
      <c r="F53" s="7">
        <f t="shared" si="55"/>
        <v>1512</v>
      </c>
      <c r="G53" s="7">
        <f t="shared" si="4"/>
        <v>3024</v>
      </c>
    </row>
    <row r="54">
      <c r="A54" s="8">
        <f t="shared" si="5"/>
        <v>53</v>
      </c>
      <c r="B54" s="16" t="s">
        <v>30</v>
      </c>
      <c r="C54" s="19">
        <v>16726.0</v>
      </c>
      <c r="D54" s="7">
        <f t="shared" si="2"/>
        <v>10035.6</v>
      </c>
      <c r="E54" s="7">
        <f t="shared" ref="E54:F54" si="56">if($D54&lt;15000,$D54*12/100,15000*12/100)</f>
        <v>1204.272</v>
      </c>
      <c r="F54" s="7">
        <f t="shared" si="56"/>
        <v>1204.272</v>
      </c>
      <c r="G54" s="7">
        <f t="shared" si="4"/>
        <v>2408.544</v>
      </c>
    </row>
    <row r="55">
      <c r="A55" s="8">
        <f t="shared" si="5"/>
        <v>54</v>
      </c>
      <c r="B55" s="16" t="s">
        <v>31</v>
      </c>
      <c r="C55" s="19">
        <v>25000.0</v>
      </c>
      <c r="D55" s="7">
        <f t="shared" si="2"/>
        <v>15000</v>
      </c>
      <c r="E55" s="7">
        <f t="shared" ref="E55:F55" si="57">if($D55&lt;15000,$D55*12/100,15000*12/100)</f>
        <v>1800</v>
      </c>
      <c r="F55" s="7">
        <f t="shared" si="57"/>
        <v>1800</v>
      </c>
      <c r="G55" s="7">
        <f t="shared" si="4"/>
        <v>3600</v>
      </c>
    </row>
    <row r="56">
      <c r="A56" s="8">
        <f t="shared" si="5"/>
        <v>55</v>
      </c>
      <c r="B56" s="16" t="s">
        <v>32</v>
      </c>
      <c r="C56" s="19">
        <v>23000.0</v>
      </c>
      <c r="D56" s="7">
        <f t="shared" si="2"/>
        <v>13800</v>
      </c>
      <c r="E56" s="7">
        <f t="shared" ref="E56:F56" si="58">if($D56&lt;15000,$D56*12/100,15000*12/100)</f>
        <v>1656</v>
      </c>
      <c r="F56" s="7">
        <f t="shared" si="58"/>
        <v>1656</v>
      </c>
      <c r="G56" s="7">
        <f t="shared" si="4"/>
        <v>3312</v>
      </c>
    </row>
    <row r="57">
      <c r="A57" s="8">
        <f t="shared" si="5"/>
        <v>56</v>
      </c>
      <c r="B57" s="16" t="s">
        <v>53</v>
      </c>
      <c r="C57" s="19">
        <v>19355.0</v>
      </c>
      <c r="D57" s="7">
        <f t="shared" si="2"/>
        <v>11613</v>
      </c>
      <c r="E57" s="7">
        <f t="shared" ref="E57:F57" si="59">if($D57&lt;15000,$D57*12/100,15000*12/100)</f>
        <v>1393.56</v>
      </c>
      <c r="F57" s="7">
        <f t="shared" si="59"/>
        <v>1393.56</v>
      </c>
      <c r="G57" s="7">
        <f t="shared" si="4"/>
        <v>2787.12</v>
      </c>
    </row>
    <row r="58">
      <c r="A58" s="8">
        <f t="shared" si="5"/>
        <v>57</v>
      </c>
      <c r="B58" s="16" t="s">
        <v>54</v>
      </c>
      <c r="C58" s="1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16" t="s">
        <v>55</v>
      </c>
      <c r="C59" s="7">
        <v>5516.0</v>
      </c>
      <c r="D59" s="7">
        <f t="shared" si="2"/>
        <v>3309.6</v>
      </c>
      <c r="E59" s="7">
        <f t="shared" ref="E59:F59" si="61">if($D59&lt;15000,$D59*12/100,15000*12/100)</f>
        <v>397.152</v>
      </c>
      <c r="F59" s="7">
        <f t="shared" si="61"/>
        <v>397.152</v>
      </c>
      <c r="G59" s="7">
        <f t="shared" si="4"/>
        <v>794.304</v>
      </c>
    </row>
    <row r="60">
      <c r="A60" s="8">
        <f t="shared" si="5"/>
        <v>59</v>
      </c>
      <c r="B60" s="16" t="s">
        <v>63</v>
      </c>
      <c r="C60" s="7">
        <v>23000.0</v>
      </c>
      <c r="D60" s="7">
        <f t="shared" si="2"/>
        <v>13800</v>
      </c>
      <c r="E60" s="7">
        <f t="shared" ref="E60:F60" si="62">if($D60&lt;15000,$D60*12/100,15000*12/100)</f>
        <v>1656</v>
      </c>
      <c r="F60" s="7">
        <f t="shared" si="62"/>
        <v>1656</v>
      </c>
      <c r="G60" s="7">
        <f t="shared" si="4"/>
        <v>3312</v>
      </c>
    </row>
    <row r="61">
      <c r="A61" s="9" t="s">
        <v>34</v>
      </c>
      <c r="B61" s="10"/>
      <c r="C61" s="11">
        <f t="shared" ref="C61:G61" si="63">sum(C2:C60)</f>
        <v>1338612</v>
      </c>
      <c r="D61" s="11">
        <f t="shared" si="63"/>
        <v>803167.2</v>
      </c>
      <c r="E61" s="11">
        <f t="shared" si="63"/>
        <v>83847.456</v>
      </c>
      <c r="F61" s="11">
        <f t="shared" si="63"/>
        <v>83847.456</v>
      </c>
      <c r="G61" s="11">
        <f t="shared" si="63"/>
        <v>167694.912</v>
      </c>
    </row>
  </sheetData>
  <mergeCells count="1">
    <mergeCell ref="A61:B61"/>
  </mergeCells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2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2" si="4">E2+F2</f>
        <v>3600</v>
      </c>
    </row>
    <row r="3">
      <c r="A3" s="8">
        <f t="shared" ref="A3:A62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19600.0</v>
      </c>
      <c r="D9" s="7">
        <f t="shared" si="2"/>
        <v>11760</v>
      </c>
      <c r="E9" s="7">
        <f t="shared" ref="E9:F9" si="11">if($D9&lt;15000,$D9*12/100,15000*12/100)</f>
        <v>1411.2</v>
      </c>
      <c r="F9" s="7">
        <f t="shared" si="11"/>
        <v>1411.2</v>
      </c>
      <c r="G9" s="7">
        <f t="shared" si="4"/>
        <v>2822.4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20300.0</v>
      </c>
      <c r="D11" s="7">
        <f t="shared" si="2"/>
        <v>12180</v>
      </c>
      <c r="E11" s="7">
        <f t="shared" ref="E11:F11" si="13">if($D11&lt;15000,$D11*12/100,15000*12/100)</f>
        <v>1461.6</v>
      </c>
      <c r="F11" s="7">
        <f t="shared" si="13"/>
        <v>1461.6</v>
      </c>
      <c r="G11" s="7">
        <f t="shared" si="4"/>
        <v>2923.2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27000.0</v>
      </c>
      <c r="D13" s="7">
        <f t="shared" si="2"/>
        <v>16200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113</v>
      </c>
      <c r="C15" s="7">
        <v>21000.0</v>
      </c>
      <c r="D15" s="7">
        <f t="shared" si="2"/>
        <v>12600</v>
      </c>
      <c r="E15" s="7">
        <f t="shared" ref="E15:F15" si="17">if($D15&lt;15000,$D15*12/100,15000*12/100)</f>
        <v>1512</v>
      </c>
      <c r="F15" s="7">
        <f t="shared" si="17"/>
        <v>1512</v>
      </c>
      <c r="G15" s="7">
        <f t="shared" si="4"/>
        <v>3024</v>
      </c>
    </row>
    <row r="16">
      <c r="A16" s="8">
        <f t="shared" si="5"/>
        <v>15</v>
      </c>
      <c r="B16" s="17" t="s">
        <v>114</v>
      </c>
      <c r="C16" s="7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115</v>
      </c>
      <c r="C17" s="7">
        <v>9000.0</v>
      </c>
      <c r="D17" s="7">
        <f t="shared" si="2"/>
        <v>5400</v>
      </c>
      <c r="E17" s="7">
        <f t="shared" ref="E17:F17" si="19">if($D17&lt;15000,$D17*12/100,15000*12/100)</f>
        <v>648</v>
      </c>
      <c r="F17" s="7">
        <f t="shared" si="19"/>
        <v>648</v>
      </c>
      <c r="G17" s="7">
        <f t="shared" si="4"/>
        <v>1296</v>
      </c>
    </row>
    <row r="18">
      <c r="A18" s="8">
        <f t="shared" si="5"/>
        <v>17</v>
      </c>
      <c r="B18" s="17" t="s">
        <v>116</v>
      </c>
      <c r="C18" s="7">
        <v>30000.0</v>
      </c>
      <c r="D18" s="7">
        <f t="shared" si="2"/>
        <v>18000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117</v>
      </c>
      <c r="C19" s="7">
        <v>17000.0</v>
      </c>
      <c r="D19" s="7">
        <f t="shared" si="2"/>
        <v>10200</v>
      </c>
      <c r="E19" s="7">
        <f t="shared" ref="E19:F19" si="21">if($D19&lt;15000,$D19*12/100,15000*12/100)</f>
        <v>1224</v>
      </c>
      <c r="F19" s="7">
        <f t="shared" si="21"/>
        <v>1224</v>
      </c>
      <c r="G19" s="7">
        <f t="shared" si="4"/>
        <v>2448</v>
      </c>
    </row>
    <row r="20">
      <c r="A20" s="8">
        <f t="shared" si="5"/>
        <v>19</v>
      </c>
      <c r="B20" s="17" t="s">
        <v>118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119</v>
      </c>
      <c r="C21" s="7">
        <v>24583.0</v>
      </c>
      <c r="D21" s="7">
        <f t="shared" si="2"/>
        <v>14749.8</v>
      </c>
      <c r="E21" s="7">
        <f t="shared" ref="E21:F21" si="23">if($D21&lt;15000,$D21*12/100,15000*12/100)</f>
        <v>1769.976</v>
      </c>
      <c r="F21" s="7">
        <f t="shared" si="23"/>
        <v>1769.976</v>
      </c>
      <c r="G21" s="7">
        <f t="shared" si="4"/>
        <v>3539.952</v>
      </c>
    </row>
    <row r="22">
      <c r="A22" s="8">
        <f t="shared" si="5"/>
        <v>21</v>
      </c>
      <c r="B22" s="17" t="s">
        <v>120</v>
      </c>
      <c r="C22" s="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17" t="s">
        <v>121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122</v>
      </c>
      <c r="C24" s="7">
        <v>15467.0</v>
      </c>
      <c r="D24" s="7">
        <f t="shared" si="2"/>
        <v>9280.2</v>
      </c>
      <c r="E24" s="7">
        <f t="shared" ref="E24:F24" si="26">if($D24&lt;15000,$D24*12/100,15000*12/100)</f>
        <v>1113.624</v>
      </c>
      <c r="F24" s="7">
        <f t="shared" si="26"/>
        <v>1113.624</v>
      </c>
      <c r="G24" s="7">
        <f t="shared" si="4"/>
        <v>2227.248</v>
      </c>
    </row>
    <row r="25">
      <c r="A25" s="8">
        <f t="shared" si="5"/>
        <v>24</v>
      </c>
      <c r="B25" s="17" t="s">
        <v>123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124</v>
      </c>
      <c r="C26" s="7">
        <v>18000.0</v>
      </c>
      <c r="D26" s="7">
        <f t="shared" si="2"/>
        <v>10800</v>
      </c>
      <c r="E26" s="7">
        <f t="shared" ref="E26:F26" si="28">if($D26&lt;15000,$D26*12/100,15000*12/100)</f>
        <v>1296</v>
      </c>
      <c r="F26" s="7">
        <f t="shared" si="28"/>
        <v>1296</v>
      </c>
      <c r="G26" s="7">
        <f t="shared" si="4"/>
        <v>2592</v>
      </c>
    </row>
    <row r="27">
      <c r="A27" s="8">
        <f t="shared" si="5"/>
        <v>26</v>
      </c>
      <c r="B27" s="17" t="s">
        <v>125</v>
      </c>
      <c r="C27" s="7">
        <v>17100.0</v>
      </c>
      <c r="D27" s="7">
        <f t="shared" si="2"/>
        <v>10260</v>
      </c>
      <c r="E27" s="7">
        <f t="shared" ref="E27:F27" si="29">if($D27&lt;15000,$D27*12/100,15000*12/100)</f>
        <v>1231.2</v>
      </c>
      <c r="F27" s="7">
        <f t="shared" si="29"/>
        <v>1231.2</v>
      </c>
      <c r="G27" s="7">
        <f t="shared" si="4"/>
        <v>2462.4</v>
      </c>
    </row>
    <row r="28">
      <c r="A28" s="8">
        <f t="shared" si="5"/>
        <v>27</v>
      </c>
      <c r="B28" s="17" t="s">
        <v>126</v>
      </c>
      <c r="C28" s="7">
        <v>25000.0</v>
      </c>
      <c r="D28" s="7">
        <f t="shared" si="2"/>
        <v>15000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</row>
    <row r="29">
      <c r="A29" s="8">
        <f t="shared" si="5"/>
        <v>28</v>
      </c>
      <c r="B29" s="17" t="s">
        <v>127</v>
      </c>
      <c r="C29" s="7">
        <v>21000.0</v>
      </c>
      <c r="D29" s="7">
        <f t="shared" si="2"/>
        <v>12600</v>
      </c>
      <c r="E29" s="7">
        <f t="shared" ref="E29:F29" si="31">if($D29&lt;15000,$D29*12/100,15000*12/100)</f>
        <v>1512</v>
      </c>
      <c r="F29" s="7">
        <f t="shared" si="31"/>
        <v>1512</v>
      </c>
      <c r="G29" s="7">
        <f t="shared" si="4"/>
        <v>3024</v>
      </c>
    </row>
    <row r="30">
      <c r="A30" s="8">
        <f t="shared" si="5"/>
        <v>29</v>
      </c>
      <c r="B30" s="17" t="s">
        <v>128</v>
      </c>
      <c r="C30" s="7">
        <v>6000.0</v>
      </c>
      <c r="D30" s="7">
        <f t="shared" si="2"/>
        <v>3600</v>
      </c>
      <c r="E30" s="7">
        <f t="shared" ref="E30:F30" si="32">if($D30&lt;15000,$D30*12/100,15000*12/100)</f>
        <v>432</v>
      </c>
      <c r="F30" s="7">
        <f t="shared" si="32"/>
        <v>432</v>
      </c>
      <c r="G30" s="7">
        <f t="shared" si="4"/>
        <v>864</v>
      </c>
    </row>
    <row r="31">
      <c r="A31" s="8">
        <f t="shared" si="5"/>
        <v>30</v>
      </c>
      <c r="B31" s="17" t="s">
        <v>129</v>
      </c>
      <c r="C31" s="7">
        <v>16150.0</v>
      </c>
      <c r="D31" s="7">
        <f t="shared" si="2"/>
        <v>9690</v>
      </c>
      <c r="E31" s="7">
        <f t="shared" ref="E31:F31" si="33">if($D31&lt;15000,$D31*12/100,15000*12/100)</f>
        <v>1162.8</v>
      </c>
      <c r="F31" s="7">
        <f t="shared" si="33"/>
        <v>1162.8</v>
      </c>
      <c r="G31" s="7">
        <f t="shared" si="4"/>
        <v>2325.6</v>
      </c>
    </row>
    <row r="32">
      <c r="A32" s="8">
        <f t="shared" si="5"/>
        <v>31</v>
      </c>
      <c r="B32" s="17" t="s">
        <v>130</v>
      </c>
      <c r="C32" s="7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17" t="s">
        <v>131</v>
      </c>
      <c r="C33" s="7">
        <v>15200.0</v>
      </c>
      <c r="D33" s="7">
        <f t="shared" si="2"/>
        <v>9120</v>
      </c>
      <c r="E33" s="7">
        <f t="shared" ref="E33:F33" si="35">if($D33&lt;15000,$D33*12/100,15000*12/100)</f>
        <v>1094.4</v>
      </c>
      <c r="F33" s="7">
        <f t="shared" si="35"/>
        <v>1094.4</v>
      </c>
      <c r="G33" s="7">
        <f t="shared" si="4"/>
        <v>2188.8</v>
      </c>
    </row>
    <row r="34">
      <c r="A34" s="8">
        <f t="shared" si="5"/>
        <v>33</v>
      </c>
      <c r="B34" s="18" t="s">
        <v>132</v>
      </c>
      <c r="C34" s="7">
        <v>22000.0</v>
      </c>
      <c r="D34" s="7">
        <f t="shared" si="2"/>
        <v>13200</v>
      </c>
      <c r="E34" s="7">
        <f t="shared" ref="E34:F34" si="36">if($D34&lt;15000,$D34*12/100,15000*12/100)</f>
        <v>1584</v>
      </c>
      <c r="F34" s="7">
        <f t="shared" si="36"/>
        <v>1584</v>
      </c>
      <c r="G34" s="7">
        <f t="shared" si="4"/>
        <v>3168</v>
      </c>
    </row>
    <row r="35">
      <c r="A35" s="8">
        <f t="shared" si="5"/>
        <v>34</v>
      </c>
      <c r="B35" s="18" t="s">
        <v>133</v>
      </c>
      <c r="C35" s="7">
        <v>7800.0</v>
      </c>
      <c r="D35" s="7">
        <f t="shared" si="2"/>
        <v>4680</v>
      </c>
      <c r="E35" s="7">
        <f t="shared" ref="E35:F35" si="37">if($D35&lt;15000,$D35*12/100,15000*12/100)</f>
        <v>561.6</v>
      </c>
      <c r="F35" s="7">
        <f t="shared" si="37"/>
        <v>561.6</v>
      </c>
      <c r="G35" s="7">
        <f t="shared" si="4"/>
        <v>1123.2</v>
      </c>
    </row>
    <row r="36">
      <c r="A36" s="8">
        <f t="shared" si="5"/>
        <v>35</v>
      </c>
      <c r="B36" s="18" t="s">
        <v>134</v>
      </c>
      <c r="C36" s="7">
        <v>12000.0</v>
      </c>
      <c r="D36" s="7">
        <f t="shared" si="2"/>
        <v>7200</v>
      </c>
      <c r="E36" s="7">
        <f t="shared" ref="E36:F36" si="38">if($D36&lt;15000,$D36*12/100,15000*12/100)</f>
        <v>864</v>
      </c>
      <c r="F36" s="7">
        <f t="shared" si="38"/>
        <v>864</v>
      </c>
      <c r="G36" s="7">
        <f t="shared" si="4"/>
        <v>1728</v>
      </c>
    </row>
    <row r="37">
      <c r="A37" s="8">
        <f t="shared" si="5"/>
        <v>36</v>
      </c>
      <c r="B37" s="18" t="s">
        <v>135</v>
      </c>
      <c r="C37" s="19">
        <v>23333.0</v>
      </c>
      <c r="D37" s="7">
        <f t="shared" si="2"/>
        <v>13999.8</v>
      </c>
      <c r="E37" s="7">
        <f t="shared" ref="E37:F37" si="39">if($D37&lt;15000,$D37*12/100,15000*12/100)</f>
        <v>1679.976</v>
      </c>
      <c r="F37" s="7">
        <f t="shared" si="39"/>
        <v>1679.976</v>
      </c>
      <c r="G37" s="7">
        <f t="shared" si="4"/>
        <v>3359.952</v>
      </c>
    </row>
    <row r="38">
      <c r="A38" s="8">
        <f t="shared" si="5"/>
        <v>37</v>
      </c>
      <c r="B38" s="16" t="s">
        <v>136</v>
      </c>
      <c r="C38" s="19">
        <v>35000.0</v>
      </c>
      <c r="D38" s="7">
        <f t="shared" si="2"/>
        <v>21000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137</v>
      </c>
      <c r="C39" s="19">
        <v>32000.0</v>
      </c>
      <c r="D39" s="7">
        <f t="shared" si="2"/>
        <v>19200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16" t="s">
        <v>138</v>
      </c>
      <c r="C40" s="19">
        <v>25000.0</v>
      </c>
      <c r="D40" s="7">
        <f t="shared" si="2"/>
        <v>15000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16" t="s">
        <v>139</v>
      </c>
      <c r="C41" s="19">
        <v>20000.0</v>
      </c>
      <c r="D41" s="7">
        <f t="shared" si="2"/>
        <v>12000</v>
      </c>
      <c r="E41" s="7">
        <f t="shared" ref="E41:F41" si="43">if($D41&lt;15000,$D41*12/100,15000*12/100)</f>
        <v>1440</v>
      </c>
      <c r="F41" s="7">
        <f t="shared" si="43"/>
        <v>1440</v>
      </c>
      <c r="G41" s="7">
        <f t="shared" si="4"/>
        <v>2880</v>
      </c>
    </row>
    <row r="42">
      <c r="A42" s="8">
        <f t="shared" si="5"/>
        <v>41</v>
      </c>
      <c r="B42" s="16" t="s">
        <v>140</v>
      </c>
      <c r="C42" s="19">
        <v>20000.0</v>
      </c>
      <c r="D42" s="7">
        <f t="shared" si="2"/>
        <v>12000</v>
      </c>
      <c r="E42" s="7">
        <f t="shared" ref="E42:F42" si="44">if($D42&lt;15000,$D42*12/100,15000*12/100)</f>
        <v>1440</v>
      </c>
      <c r="F42" s="7">
        <f t="shared" si="44"/>
        <v>1440</v>
      </c>
      <c r="G42" s="7">
        <f t="shared" si="4"/>
        <v>2880</v>
      </c>
    </row>
    <row r="43">
      <c r="A43" s="8">
        <f t="shared" si="5"/>
        <v>42</v>
      </c>
      <c r="B43" s="16" t="s">
        <v>152</v>
      </c>
      <c r="C43" s="19">
        <v>8000.0</v>
      </c>
      <c r="D43" s="7">
        <f t="shared" si="2"/>
        <v>4800</v>
      </c>
      <c r="E43" s="7">
        <f t="shared" ref="E43:F43" si="45">if($D43&lt;15000,$D43*12/100,15000*12/100)</f>
        <v>576</v>
      </c>
      <c r="F43" s="7">
        <f t="shared" si="45"/>
        <v>576</v>
      </c>
      <c r="G43" s="7">
        <f t="shared" si="4"/>
        <v>1152</v>
      </c>
    </row>
    <row r="44">
      <c r="A44" s="8">
        <f t="shared" si="5"/>
        <v>43</v>
      </c>
      <c r="B44" s="16" t="s">
        <v>142</v>
      </c>
      <c r="C44" s="19">
        <v>22000.0</v>
      </c>
      <c r="D44" s="7">
        <f t="shared" si="2"/>
        <v>13200</v>
      </c>
      <c r="E44" s="7">
        <f t="shared" ref="E44:F44" si="46">if($D44&lt;15000,$D44*12/100,15000*12/100)</f>
        <v>1584</v>
      </c>
      <c r="F44" s="7">
        <f t="shared" si="46"/>
        <v>1584</v>
      </c>
      <c r="G44" s="7">
        <f t="shared" si="4"/>
        <v>3168</v>
      </c>
    </row>
    <row r="45">
      <c r="A45" s="8">
        <f t="shared" si="5"/>
        <v>44</v>
      </c>
      <c r="B45" s="16" t="s">
        <v>143</v>
      </c>
      <c r="C45" s="19">
        <v>14167.0</v>
      </c>
      <c r="D45" s="7">
        <f t="shared" si="2"/>
        <v>8500.2</v>
      </c>
      <c r="E45" s="7">
        <f t="shared" ref="E45:F45" si="47">if($D45&lt;15000,$D45*12/100,15000*12/100)</f>
        <v>1020.024</v>
      </c>
      <c r="F45" s="7">
        <f t="shared" si="47"/>
        <v>1020.024</v>
      </c>
      <c r="G45" s="7">
        <f t="shared" si="4"/>
        <v>2040.048</v>
      </c>
    </row>
    <row r="46">
      <c r="A46" s="8">
        <f t="shared" si="5"/>
        <v>45</v>
      </c>
      <c r="B46" s="16" t="s">
        <v>144</v>
      </c>
      <c r="C46" s="19">
        <v>4817.0</v>
      </c>
      <c r="D46" s="7">
        <f t="shared" si="2"/>
        <v>2890.2</v>
      </c>
      <c r="E46" s="7">
        <f t="shared" ref="E46:F46" si="48">if($D46&lt;15000,$D46*12/100,15000*12/100)</f>
        <v>346.824</v>
      </c>
      <c r="F46" s="7">
        <f t="shared" si="48"/>
        <v>346.824</v>
      </c>
      <c r="G46" s="7">
        <f t="shared" si="4"/>
        <v>693.648</v>
      </c>
    </row>
    <row r="47">
      <c r="A47" s="8">
        <f t="shared" si="5"/>
        <v>46</v>
      </c>
      <c r="B47" s="16" t="s">
        <v>145</v>
      </c>
      <c r="C47" s="19">
        <v>35000.0</v>
      </c>
      <c r="D47" s="7">
        <f t="shared" si="2"/>
        <v>21000</v>
      </c>
      <c r="E47" s="7">
        <f t="shared" ref="E47:F47" si="49">if($D47&lt;15000,$D47*12/100,15000*12/100)</f>
        <v>1800</v>
      </c>
      <c r="F47" s="7">
        <f t="shared" si="49"/>
        <v>1800</v>
      </c>
      <c r="G47" s="7">
        <f t="shared" si="4"/>
        <v>3600</v>
      </c>
    </row>
    <row r="48">
      <c r="A48" s="8">
        <f t="shared" si="5"/>
        <v>47</v>
      </c>
      <c r="B48" s="16" t="s">
        <v>146</v>
      </c>
      <c r="C48" s="19">
        <v>15017.0</v>
      </c>
      <c r="D48" s="7">
        <f t="shared" si="2"/>
        <v>9010.2</v>
      </c>
      <c r="E48" s="7">
        <f t="shared" ref="E48:F48" si="50">if($D48&lt;15000,$D48*12/100,15000*12/100)</f>
        <v>1081.224</v>
      </c>
      <c r="F48" s="7">
        <f t="shared" si="50"/>
        <v>1081.224</v>
      </c>
      <c r="G48" s="7">
        <f t="shared" si="4"/>
        <v>2162.448</v>
      </c>
    </row>
    <row r="49">
      <c r="A49" s="8">
        <f t="shared" si="5"/>
        <v>48</v>
      </c>
      <c r="B49" s="16" t="s">
        <v>147</v>
      </c>
      <c r="C49" s="19">
        <v>21267.0</v>
      </c>
      <c r="D49" s="7">
        <f t="shared" si="2"/>
        <v>12760.2</v>
      </c>
      <c r="E49" s="7">
        <f t="shared" ref="E49:F49" si="51">if($D49&lt;15000,$D49*12/100,15000*12/100)</f>
        <v>1531.224</v>
      </c>
      <c r="F49" s="7">
        <f t="shared" si="51"/>
        <v>1531.224</v>
      </c>
      <c r="G49" s="7">
        <f t="shared" si="4"/>
        <v>3062.448</v>
      </c>
    </row>
    <row r="50">
      <c r="A50" s="8">
        <f t="shared" si="5"/>
        <v>49</v>
      </c>
      <c r="B50" s="16" t="s">
        <v>148</v>
      </c>
      <c r="C50" s="19">
        <v>23000.0</v>
      </c>
      <c r="D50" s="7">
        <f t="shared" si="2"/>
        <v>13800</v>
      </c>
      <c r="E50" s="7">
        <f t="shared" ref="E50:F50" si="52">if($D50&lt;15000,$D50*12/100,15000*12/100)</f>
        <v>1656</v>
      </c>
      <c r="F50" s="7">
        <f t="shared" si="52"/>
        <v>1656</v>
      </c>
      <c r="G50" s="7">
        <f t="shared" si="4"/>
        <v>3312</v>
      </c>
    </row>
    <row r="51">
      <c r="A51" s="8">
        <f t="shared" si="5"/>
        <v>50</v>
      </c>
      <c r="B51" s="16" t="s">
        <v>149</v>
      </c>
      <c r="C51" s="19">
        <v>22617.0</v>
      </c>
      <c r="D51" s="7">
        <f t="shared" si="2"/>
        <v>13570.2</v>
      </c>
      <c r="E51" s="7">
        <f t="shared" ref="E51:F51" si="53">if($D51&lt;15000,$D51*12/100,15000*12/100)</f>
        <v>1628.424</v>
      </c>
      <c r="F51" s="7">
        <f t="shared" si="53"/>
        <v>1628.424</v>
      </c>
      <c r="G51" s="7">
        <f t="shared" si="4"/>
        <v>3256.848</v>
      </c>
    </row>
    <row r="52">
      <c r="A52" s="8">
        <f t="shared" si="5"/>
        <v>51</v>
      </c>
      <c r="B52" s="16" t="s">
        <v>150</v>
      </c>
      <c r="C52" s="19">
        <v>17400.0</v>
      </c>
      <c r="D52" s="7">
        <f t="shared" si="2"/>
        <v>10440</v>
      </c>
      <c r="E52" s="7">
        <f t="shared" ref="E52:F52" si="54">if($D52&lt;15000,$D52*12/100,15000*12/100)</f>
        <v>1252.8</v>
      </c>
      <c r="F52" s="7">
        <f t="shared" si="54"/>
        <v>1252.8</v>
      </c>
      <c r="G52" s="7">
        <f t="shared" si="4"/>
        <v>2505.6</v>
      </c>
    </row>
    <row r="53">
      <c r="A53" s="8">
        <f t="shared" si="5"/>
        <v>52</v>
      </c>
      <c r="B53" s="16" t="s">
        <v>151</v>
      </c>
      <c r="C53" s="19">
        <v>21000.0</v>
      </c>
      <c r="D53" s="7">
        <f t="shared" si="2"/>
        <v>12600</v>
      </c>
      <c r="E53" s="7">
        <f t="shared" ref="E53:F53" si="55">if($D53&lt;15000,$D53*12/100,15000*12/100)</f>
        <v>1512</v>
      </c>
      <c r="F53" s="7">
        <f t="shared" si="55"/>
        <v>1512</v>
      </c>
      <c r="G53" s="7">
        <f t="shared" si="4"/>
        <v>3024</v>
      </c>
    </row>
    <row r="54">
      <c r="A54" s="8">
        <f t="shared" si="5"/>
        <v>53</v>
      </c>
      <c r="B54" s="16" t="s">
        <v>153</v>
      </c>
      <c r="C54" s="19">
        <v>25000.0</v>
      </c>
      <c r="D54" s="7">
        <f t="shared" si="2"/>
        <v>15000</v>
      </c>
      <c r="E54" s="7">
        <f t="shared" ref="E54:F54" si="56">if($D54&lt;15000,$D54*12/100,15000*12/100)</f>
        <v>1800</v>
      </c>
      <c r="F54" s="7">
        <f t="shared" si="56"/>
        <v>1800</v>
      </c>
      <c r="G54" s="7">
        <f t="shared" si="4"/>
        <v>3600</v>
      </c>
    </row>
    <row r="55">
      <c r="A55" s="8">
        <f t="shared" si="5"/>
        <v>54</v>
      </c>
      <c r="B55" s="16" t="s">
        <v>154</v>
      </c>
      <c r="C55" s="19">
        <v>17000.0</v>
      </c>
      <c r="D55" s="7">
        <f t="shared" si="2"/>
        <v>10200</v>
      </c>
      <c r="E55" s="7">
        <f t="shared" ref="E55:F55" si="57">if($D55&lt;15000,$D55*12/100,15000*12/100)</f>
        <v>1224</v>
      </c>
      <c r="F55" s="7">
        <f t="shared" si="57"/>
        <v>1224</v>
      </c>
      <c r="G55" s="7">
        <f t="shared" si="4"/>
        <v>2448</v>
      </c>
    </row>
    <row r="56">
      <c r="A56" s="8">
        <f t="shared" si="5"/>
        <v>55</v>
      </c>
      <c r="B56" s="16" t="s">
        <v>155</v>
      </c>
      <c r="C56" s="19">
        <v>23000.0</v>
      </c>
      <c r="D56" s="7">
        <f t="shared" si="2"/>
        <v>13800</v>
      </c>
      <c r="E56" s="7">
        <f t="shared" ref="E56:F56" si="58">if($D56&lt;15000,$D56*12/100,15000*12/100)</f>
        <v>1656</v>
      </c>
      <c r="F56" s="7">
        <f t="shared" si="58"/>
        <v>1656</v>
      </c>
      <c r="G56" s="7">
        <f t="shared" si="4"/>
        <v>3312</v>
      </c>
    </row>
    <row r="57">
      <c r="A57" s="8">
        <f t="shared" si="5"/>
        <v>56</v>
      </c>
      <c r="B57" s="16" t="s">
        <v>156</v>
      </c>
      <c r="C57" s="19">
        <v>20000.0</v>
      </c>
      <c r="D57" s="7">
        <f t="shared" si="2"/>
        <v>12000</v>
      </c>
      <c r="E57" s="7">
        <f t="shared" ref="E57:F57" si="59">if($D57&lt;15000,$D57*12/100,15000*12/100)</f>
        <v>1440</v>
      </c>
      <c r="F57" s="7">
        <f t="shared" si="59"/>
        <v>1440</v>
      </c>
      <c r="G57" s="7">
        <f t="shared" si="4"/>
        <v>2880</v>
      </c>
    </row>
    <row r="58">
      <c r="A58" s="8">
        <f t="shared" si="5"/>
        <v>57</v>
      </c>
      <c r="B58" s="16" t="s">
        <v>157</v>
      </c>
      <c r="C58" s="1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16" t="s">
        <v>158</v>
      </c>
      <c r="C59" s="7">
        <v>10325.0</v>
      </c>
      <c r="D59" s="7">
        <f t="shared" si="2"/>
        <v>6195</v>
      </c>
      <c r="E59" s="7">
        <f t="shared" ref="E59:F59" si="61">if($D59&lt;15000,$D59*12/100,15000*12/100)</f>
        <v>743.4</v>
      </c>
      <c r="F59" s="7">
        <f t="shared" si="61"/>
        <v>743.4</v>
      </c>
      <c r="G59" s="7">
        <f t="shared" si="4"/>
        <v>1486.8</v>
      </c>
    </row>
    <row r="60">
      <c r="A60" s="8">
        <f t="shared" si="5"/>
        <v>59</v>
      </c>
      <c r="B60" s="16" t="s">
        <v>159</v>
      </c>
      <c r="C60" s="7">
        <v>19167.0</v>
      </c>
      <c r="D60" s="7">
        <f t="shared" si="2"/>
        <v>11500.2</v>
      </c>
      <c r="E60" s="7">
        <f t="shared" ref="E60:F60" si="62">if($D60&lt;15000,$D60*12/100,15000*12/100)</f>
        <v>1380.024</v>
      </c>
      <c r="F60" s="7">
        <f t="shared" si="62"/>
        <v>1380.024</v>
      </c>
      <c r="G60" s="7">
        <f t="shared" si="4"/>
        <v>2760.048</v>
      </c>
    </row>
    <row r="61">
      <c r="A61" s="8">
        <f t="shared" si="5"/>
        <v>60</v>
      </c>
      <c r="B61" s="16" t="s">
        <v>160</v>
      </c>
      <c r="C61" s="7">
        <v>18367.0</v>
      </c>
      <c r="D61" s="7">
        <f t="shared" si="2"/>
        <v>11020.2</v>
      </c>
      <c r="E61" s="7">
        <f t="shared" ref="E61:F61" si="63">if($D61&lt;15000,$D61*12/100,15000*12/100)</f>
        <v>1322.424</v>
      </c>
      <c r="F61" s="7">
        <f t="shared" si="63"/>
        <v>1322.424</v>
      </c>
      <c r="G61" s="7">
        <f t="shared" si="4"/>
        <v>2644.848</v>
      </c>
    </row>
    <row r="62">
      <c r="A62" s="8">
        <f t="shared" si="5"/>
        <v>61</v>
      </c>
      <c r="B62" s="16" t="s">
        <v>161</v>
      </c>
      <c r="C62" s="7">
        <v>13300.0</v>
      </c>
      <c r="D62" s="7">
        <f t="shared" si="2"/>
        <v>7980</v>
      </c>
      <c r="E62" s="7">
        <f t="shared" ref="E62:F62" si="64">if($D62&lt;15000,$D62*12/100,15000*12/100)</f>
        <v>957.6</v>
      </c>
      <c r="F62" s="7">
        <f t="shared" si="64"/>
        <v>957.6</v>
      </c>
      <c r="G62" s="7">
        <f t="shared" si="4"/>
        <v>1915.2</v>
      </c>
    </row>
    <row r="63">
      <c r="A63" s="9" t="s">
        <v>34</v>
      </c>
      <c r="B63" s="10"/>
      <c r="C63" s="11">
        <f t="shared" ref="C63:G63" si="65">sum(C2:C62)</f>
        <v>1371977</v>
      </c>
      <c r="D63" s="11">
        <f t="shared" si="65"/>
        <v>823186.2</v>
      </c>
      <c r="E63" s="11">
        <f t="shared" si="65"/>
        <v>85822.344</v>
      </c>
      <c r="F63" s="11">
        <f t="shared" si="65"/>
        <v>85822.344</v>
      </c>
      <c r="G63" s="11">
        <f t="shared" si="65"/>
        <v>171644.688</v>
      </c>
    </row>
  </sheetData>
  <mergeCells count="1">
    <mergeCell ref="A63:B63"/>
  </mergeCells>
  <hyperlinks>
    <hyperlink r:id="rId1" ref="A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1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1" si="4">E2+F2</f>
        <v>3600</v>
      </c>
    </row>
    <row r="3">
      <c r="A3" s="8">
        <f t="shared" ref="A3:A61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62903.0</v>
      </c>
      <c r="D4" s="7">
        <f t="shared" si="2"/>
        <v>37741.8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32468.0</v>
      </c>
      <c r="D6" s="7">
        <f t="shared" si="2"/>
        <v>19480.8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</row>
    <row r="10">
      <c r="A10" s="8">
        <f t="shared" si="5"/>
        <v>9</v>
      </c>
      <c r="B10" s="17" t="s">
        <v>108</v>
      </c>
      <c r="C10" s="7">
        <v>24194.0</v>
      </c>
      <c r="D10" s="7">
        <f t="shared" si="2"/>
        <v>14516.4</v>
      </c>
      <c r="E10" s="7">
        <f t="shared" ref="E10:F10" si="12">if($D10&lt;15000,$D10*12/100,15000*12/100)</f>
        <v>1741.968</v>
      </c>
      <c r="F10" s="7">
        <f t="shared" si="12"/>
        <v>1741.968</v>
      </c>
      <c r="G10" s="7">
        <f t="shared" si="4"/>
        <v>3483.936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113</v>
      </c>
      <c r="C15" s="7">
        <v>20323.0</v>
      </c>
      <c r="D15" s="7">
        <f t="shared" si="2"/>
        <v>12193.8</v>
      </c>
      <c r="E15" s="7">
        <f t="shared" ref="E15:F15" si="17">if($D15&lt;15000,$D15*12/100,15000*12/100)</f>
        <v>1463.256</v>
      </c>
      <c r="F15" s="7">
        <f t="shared" si="17"/>
        <v>1463.256</v>
      </c>
      <c r="G15" s="7">
        <f t="shared" si="4"/>
        <v>2926.512</v>
      </c>
    </row>
    <row r="16">
      <c r="A16" s="8">
        <f t="shared" si="5"/>
        <v>15</v>
      </c>
      <c r="B16" s="17" t="s">
        <v>114</v>
      </c>
      <c r="C16" s="7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115</v>
      </c>
      <c r="C17" s="7">
        <v>9000.0</v>
      </c>
      <c r="D17" s="7">
        <f t="shared" si="2"/>
        <v>5400</v>
      </c>
      <c r="E17" s="7">
        <f t="shared" ref="E17:F17" si="19">if($D17&lt;15000,$D17*12/100,15000*12/100)</f>
        <v>648</v>
      </c>
      <c r="F17" s="7">
        <f t="shared" si="19"/>
        <v>648</v>
      </c>
      <c r="G17" s="7">
        <f t="shared" si="4"/>
        <v>1296</v>
      </c>
    </row>
    <row r="18">
      <c r="A18" s="8">
        <f t="shared" si="5"/>
        <v>17</v>
      </c>
      <c r="B18" s="17" t="s">
        <v>116</v>
      </c>
      <c r="C18" s="7">
        <v>28065.0</v>
      </c>
      <c r="D18" s="7">
        <f t="shared" si="2"/>
        <v>16839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117</v>
      </c>
      <c r="C19" s="7">
        <v>17000.0</v>
      </c>
      <c r="D19" s="7">
        <f t="shared" si="2"/>
        <v>10200</v>
      </c>
      <c r="E19" s="7">
        <f t="shared" ref="E19:F19" si="21">if($D19&lt;15000,$D19*12/100,15000*12/100)</f>
        <v>1224</v>
      </c>
      <c r="F19" s="7">
        <f t="shared" si="21"/>
        <v>1224</v>
      </c>
      <c r="G19" s="7">
        <f t="shared" si="4"/>
        <v>2448</v>
      </c>
    </row>
    <row r="20">
      <c r="A20" s="8">
        <f t="shared" si="5"/>
        <v>19</v>
      </c>
      <c r="B20" s="17" t="s">
        <v>118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119</v>
      </c>
      <c r="C21" s="7">
        <v>22984.0</v>
      </c>
      <c r="D21" s="7">
        <f t="shared" si="2"/>
        <v>13790.4</v>
      </c>
      <c r="E21" s="7">
        <f t="shared" ref="E21:F21" si="23">if($D21&lt;15000,$D21*12/100,15000*12/100)</f>
        <v>1654.848</v>
      </c>
      <c r="F21" s="7">
        <f t="shared" si="23"/>
        <v>1654.848</v>
      </c>
      <c r="G21" s="7">
        <f t="shared" si="4"/>
        <v>3309.696</v>
      </c>
    </row>
    <row r="22">
      <c r="A22" s="8">
        <f t="shared" si="5"/>
        <v>21</v>
      </c>
      <c r="B22" s="17" t="s">
        <v>120</v>
      </c>
      <c r="C22" s="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17" t="s">
        <v>121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122</v>
      </c>
      <c r="C24" s="7">
        <v>15484.0</v>
      </c>
      <c r="D24" s="7">
        <f t="shared" si="2"/>
        <v>9290.4</v>
      </c>
      <c r="E24" s="7">
        <f t="shared" ref="E24:F24" si="26">if($D24&lt;15000,$D24*12/100,15000*12/100)</f>
        <v>1114.848</v>
      </c>
      <c r="F24" s="7">
        <f t="shared" si="26"/>
        <v>1114.848</v>
      </c>
      <c r="G24" s="7">
        <f t="shared" si="4"/>
        <v>2229.696</v>
      </c>
    </row>
    <row r="25">
      <c r="A25" s="8">
        <f t="shared" si="5"/>
        <v>24</v>
      </c>
      <c r="B25" s="17" t="s">
        <v>123</v>
      </c>
      <c r="C25" s="7">
        <v>7742.0</v>
      </c>
      <c r="D25" s="7">
        <f t="shared" si="2"/>
        <v>4645.2</v>
      </c>
      <c r="E25" s="7">
        <f t="shared" ref="E25:F25" si="27">if($D25&lt;15000,$D25*12/100,15000*12/100)</f>
        <v>557.424</v>
      </c>
      <c r="F25" s="7">
        <f t="shared" si="27"/>
        <v>557.424</v>
      </c>
      <c r="G25" s="7">
        <f t="shared" si="4"/>
        <v>1114.848</v>
      </c>
    </row>
    <row r="26">
      <c r="A26" s="8">
        <f t="shared" si="5"/>
        <v>25</v>
      </c>
      <c r="B26" s="17" t="s">
        <v>124</v>
      </c>
      <c r="C26" s="7">
        <v>20000.0</v>
      </c>
      <c r="D26" s="7">
        <f t="shared" si="2"/>
        <v>12000</v>
      </c>
      <c r="E26" s="7">
        <f t="shared" ref="E26:F26" si="28">if($D26&lt;15000,$D26*12/100,15000*12/100)</f>
        <v>1440</v>
      </c>
      <c r="F26" s="7">
        <f t="shared" si="28"/>
        <v>1440</v>
      </c>
      <c r="G26" s="7">
        <f t="shared" si="4"/>
        <v>2880</v>
      </c>
    </row>
    <row r="27">
      <c r="A27" s="8">
        <f t="shared" si="5"/>
        <v>26</v>
      </c>
      <c r="B27" s="17" t="s">
        <v>126</v>
      </c>
      <c r="C27" s="7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17" t="s">
        <v>127</v>
      </c>
      <c r="C28" s="7">
        <v>21000.0</v>
      </c>
      <c r="D28" s="7">
        <f t="shared" si="2"/>
        <v>12600</v>
      </c>
      <c r="E28" s="7">
        <f t="shared" ref="E28:F28" si="30">if($D28&lt;15000,$D28*12/100,15000*12/100)</f>
        <v>1512</v>
      </c>
      <c r="F28" s="7">
        <f t="shared" si="30"/>
        <v>1512</v>
      </c>
      <c r="G28" s="7">
        <f t="shared" si="4"/>
        <v>3024</v>
      </c>
    </row>
    <row r="29">
      <c r="A29" s="8">
        <f t="shared" si="5"/>
        <v>28</v>
      </c>
      <c r="B29" s="17" t="s">
        <v>128</v>
      </c>
      <c r="C29" s="7">
        <v>6000.0</v>
      </c>
      <c r="D29" s="7">
        <f t="shared" si="2"/>
        <v>3600</v>
      </c>
      <c r="E29" s="7">
        <f t="shared" ref="E29:F29" si="31">if($D29&lt;15000,$D29*12/100,15000*12/100)</f>
        <v>432</v>
      </c>
      <c r="F29" s="7">
        <f t="shared" si="31"/>
        <v>432</v>
      </c>
      <c r="G29" s="7">
        <f t="shared" si="4"/>
        <v>864</v>
      </c>
    </row>
    <row r="30">
      <c r="A30" s="8">
        <f t="shared" si="5"/>
        <v>29</v>
      </c>
      <c r="B30" s="17" t="s">
        <v>129</v>
      </c>
      <c r="C30" s="7">
        <v>16177.0</v>
      </c>
      <c r="D30" s="7">
        <f t="shared" si="2"/>
        <v>9706.2</v>
      </c>
      <c r="E30" s="7">
        <f t="shared" ref="E30:F30" si="32">if($D30&lt;15000,$D30*12/100,15000*12/100)</f>
        <v>1164.744</v>
      </c>
      <c r="F30" s="7">
        <f t="shared" si="32"/>
        <v>1164.744</v>
      </c>
      <c r="G30" s="7">
        <f t="shared" si="4"/>
        <v>2329.488</v>
      </c>
    </row>
    <row r="31">
      <c r="A31" s="8">
        <f t="shared" si="5"/>
        <v>30</v>
      </c>
      <c r="B31" s="17" t="s">
        <v>130</v>
      </c>
      <c r="C31" s="7">
        <v>16000.0</v>
      </c>
      <c r="D31" s="7">
        <f t="shared" si="2"/>
        <v>9600</v>
      </c>
      <c r="E31" s="7">
        <f t="shared" ref="E31:F31" si="33">if($D31&lt;15000,$D31*12/100,15000*12/100)</f>
        <v>1152</v>
      </c>
      <c r="F31" s="7">
        <f t="shared" si="33"/>
        <v>1152</v>
      </c>
      <c r="G31" s="7">
        <f t="shared" si="4"/>
        <v>2304</v>
      </c>
    </row>
    <row r="32">
      <c r="A32" s="8">
        <f t="shared" si="5"/>
        <v>31</v>
      </c>
      <c r="B32" s="17" t="s">
        <v>131</v>
      </c>
      <c r="C32" s="7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17" t="s">
        <v>132</v>
      </c>
      <c r="C33" s="7">
        <v>22000.0</v>
      </c>
      <c r="D33" s="7">
        <f t="shared" si="2"/>
        <v>13200</v>
      </c>
      <c r="E33" s="7">
        <f t="shared" ref="E33:F33" si="35">if($D33&lt;15000,$D33*12/100,15000*12/100)</f>
        <v>1584</v>
      </c>
      <c r="F33" s="7">
        <f t="shared" si="35"/>
        <v>1584</v>
      </c>
      <c r="G33" s="7">
        <f t="shared" si="4"/>
        <v>3168</v>
      </c>
    </row>
    <row r="34">
      <c r="A34" s="8">
        <f t="shared" si="5"/>
        <v>33</v>
      </c>
      <c r="B34" s="18" t="s">
        <v>134</v>
      </c>
      <c r="C34" s="7">
        <v>11613.0</v>
      </c>
      <c r="D34" s="7">
        <f t="shared" si="2"/>
        <v>6967.8</v>
      </c>
      <c r="E34" s="7">
        <f t="shared" ref="E34:F34" si="36">if($D34&lt;15000,$D34*12/100,15000*12/100)</f>
        <v>836.136</v>
      </c>
      <c r="F34" s="7">
        <f t="shared" si="36"/>
        <v>836.136</v>
      </c>
      <c r="G34" s="7">
        <f t="shared" si="4"/>
        <v>1672.272</v>
      </c>
    </row>
    <row r="35">
      <c r="A35" s="8">
        <f t="shared" si="5"/>
        <v>34</v>
      </c>
      <c r="B35" s="18" t="s">
        <v>135</v>
      </c>
      <c r="C35" s="7">
        <v>25000.0</v>
      </c>
      <c r="D35" s="7">
        <f t="shared" si="2"/>
        <v>15000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136</v>
      </c>
      <c r="C36" s="7">
        <v>35000.0</v>
      </c>
      <c r="D36" s="7">
        <f t="shared" si="2"/>
        <v>21000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137</v>
      </c>
      <c r="C37" s="19">
        <v>32000.0</v>
      </c>
      <c r="D37" s="7">
        <f t="shared" si="2"/>
        <v>19200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138</v>
      </c>
      <c r="C38" s="19">
        <v>25000.0</v>
      </c>
      <c r="D38" s="7">
        <f t="shared" si="2"/>
        <v>15000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139</v>
      </c>
      <c r="C39" s="19">
        <v>20000.0</v>
      </c>
      <c r="D39" s="7">
        <f t="shared" si="2"/>
        <v>12000</v>
      </c>
      <c r="E39" s="7">
        <f t="shared" ref="E39:F39" si="41">if($D39&lt;15000,$D39*12/100,15000*12/100)</f>
        <v>1440</v>
      </c>
      <c r="F39" s="7">
        <f t="shared" si="41"/>
        <v>1440</v>
      </c>
      <c r="G39" s="7">
        <f t="shared" si="4"/>
        <v>2880</v>
      </c>
    </row>
    <row r="40">
      <c r="A40" s="8">
        <f t="shared" si="5"/>
        <v>39</v>
      </c>
      <c r="B40" s="16" t="s">
        <v>140</v>
      </c>
      <c r="C40" s="19">
        <v>20000.0</v>
      </c>
      <c r="D40" s="7">
        <f t="shared" si="2"/>
        <v>12000</v>
      </c>
      <c r="E40" s="7">
        <f t="shared" ref="E40:F40" si="42">if($D40&lt;15000,$D40*12/100,15000*12/100)</f>
        <v>1440</v>
      </c>
      <c r="F40" s="7">
        <f t="shared" si="42"/>
        <v>1440</v>
      </c>
      <c r="G40" s="7">
        <f t="shared" si="4"/>
        <v>2880</v>
      </c>
    </row>
    <row r="41">
      <c r="A41" s="8">
        <f t="shared" si="5"/>
        <v>40</v>
      </c>
      <c r="B41" s="16" t="s">
        <v>152</v>
      </c>
      <c r="C41" s="19">
        <v>8000.0</v>
      </c>
      <c r="D41" s="7">
        <f t="shared" si="2"/>
        <v>4800</v>
      </c>
      <c r="E41" s="7">
        <f t="shared" ref="E41:F41" si="43">if($D41&lt;15000,$D41*12/100,15000*12/100)</f>
        <v>576</v>
      </c>
      <c r="F41" s="7">
        <f t="shared" si="43"/>
        <v>576</v>
      </c>
      <c r="G41" s="7">
        <f t="shared" si="4"/>
        <v>1152</v>
      </c>
    </row>
    <row r="42">
      <c r="A42" s="8">
        <f t="shared" si="5"/>
        <v>41</v>
      </c>
      <c r="B42" s="16" t="s">
        <v>142</v>
      </c>
      <c r="C42" s="19">
        <v>22000.0</v>
      </c>
      <c r="D42" s="7">
        <f t="shared" si="2"/>
        <v>13200</v>
      </c>
      <c r="E42" s="7">
        <f t="shared" ref="E42:F42" si="44">if($D42&lt;15000,$D42*12/100,15000*12/100)</f>
        <v>1584</v>
      </c>
      <c r="F42" s="7">
        <f t="shared" si="44"/>
        <v>1584</v>
      </c>
      <c r="G42" s="7">
        <f t="shared" si="4"/>
        <v>3168</v>
      </c>
    </row>
    <row r="43">
      <c r="A43" s="8">
        <f t="shared" si="5"/>
        <v>42</v>
      </c>
      <c r="B43" s="16" t="s">
        <v>143</v>
      </c>
      <c r="C43" s="19">
        <v>17000.0</v>
      </c>
      <c r="D43" s="7">
        <f t="shared" si="2"/>
        <v>10200</v>
      </c>
      <c r="E43" s="7">
        <f t="shared" ref="E43:F43" si="45">if($D43&lt;15000,$D43*12/100,15000*12/100)</f>
        <v>1224</v>
      </c>
      <c r="F43" s="7">
        <f t="shared" si="45"/>
        <v>1224</v>
      </c>
      <c r="G43" s="7">
        <f t="shared" si="4"/>
        <v>2448</v>
      </c>
    </row>
    <row r="44">
      <c r="A44" s="8">
        <f t="shared" si="5"/>
        <v>43</v>
      </c>
      <c r="B44" s="16" t="s">
        <v>144</v>
      </c>
      <c r="C44" s="19">
        <v>16726.0</v>
      </c>
      <c r="D44" s="7">
        <f t="shared" si="2"/>
        <v>10035.6</v>
      </c>
      <c r="E44" s="7">
        <f t="shared" ref="E44:F44" si="46">if($D44&lt;15000,$D44*12/100,15000*12/100)</f>
        <v>1204.272</v>
      </c>
      <c r="F44" s="7">
        <f t="shared" si="46"/>
        <v>1204.272</v>
      </c>
      <c r="G44" s="7">
        <f t="shared" si="4"/>
        <v>2408.544</v>
      </c>
    </row>
    <row r="45">
      <c r="A45" s="8">
        <f t="shared" si="5"/>
        <v>44</v>
      </c>
      <c r="B45" s="16" t="s">
        <v>145</v>
      </c>
      <c r="C45" s="19">
        <v>35000.0</v>
      </c>
      <c r="D45" s="7">
        <f t="shared" si="2"/>
        <v>21000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16" t="s">
        <v>146</v>
      </c>
      <c r="C46" s="19">
        <v>17000.0</v>
      </c>
      <c r="D46" s="7">
        <f t="shared" si="2"/>
        <v>10200</v>
      </c>
      <c r="E46" s="7">
        <f t="shared" ref="E46:F46" si="48">if($D46&lt;15000,$D46*12/100,15000*12/100)</f>
        <v>1224</v>
      </c>
      <c r="F46" s="7">
        <f t="shared" si="48"/>
        <v>1224</v>
      </c>
      <c r="G46" s="7">
        <f t="shared" si="4"/>
        <v>2448</v>
      </c>
    </row>
    <row r="47">
      <c r="A47" s="8">
        <f t="shared" si="5"/>
        <v>46</v>
      </c>
      <c r="B47" s="16" t="s">
        <v>148</v>
      </c>
      <c r="C47" s="19">
        <v>23000.0</v>
      </c>
      <c r="D47" s="7">
        <f t="shared" si="2"/>
        <v>13800</v>
      </c>
      <c r="E47" s="7">
        <f t="shared" ref="E47:F47" si="49">if($D47&lt;15000,$D47*12/100,15000*12/100)</f>
        <v>1656</v>
      </c>
      <c r="F47" s="7">
        <f t="shared" si="49"/>
        <v>1656</v>
      </c>
      <c r="G47" s="7">
        <f t="shared" si="4"/>
        <v>3312</v>
      </c>
    </row>
    <row r="48">
      <c r="A48" s="8">
        <f t="shared" si="5"/>
        <v>47</v>
      </c>
      <c r="B48" s="16" t="s">
        <v>149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</row>
    <row r="49">
      <c r="A49" s="8">
        <f t="shared" si="5"/>
        <v>48</v>
      </c>
      <c r="B49" s="16" t="s">
        <v>150</v>
      </c>
      <c r="C49" s="19">
        <v>18000.0</v>
      </c>
      <c r="D49" s="7">
        <f t="shared" si="2"/>
        <v>10800</v>
      </c>
      <c r="E49" s="7">
        <f t="shared" ref="E49:F49" si="51">if($D49&lt;15000,$D49*12/100,15000*12/100)</f>
        <v>1296</v>
      </c>
      <c r="F49" s="7">
        <f t="shared" si="51"/>
        <v>1296</v>
      </c>
      <c r="G49" s="7">
        <f t="shared" si="4"/>
        <v>2592</v>
      </c>
    </row>
    <row r="50">
      <c r="A50" s="8">
        <f t="shared" si="5"/>
        <v>49</v>
      </c>
      <c r="B50" s="16" t="s">
        <v>151</v>
      </c>
      <c r="C50" s="19">
        <v>20323.0</v>
      </c>
      <c r="D50" s="7">
        <f t="shared" si="2"/>
        <v>12193.8</v>
      </c>
      <c r="E50" s="7">
        <f t="shared" ref="E50:F50" si="52">if($D50&lt;15000,$D50*12/100,15000*12/100)</f>
        <v>1463.256</v>
      </c>
      <c r="F50" s="7">
        <f t="shared" si="52"/>
        <v>1463.256</v>
      </c>
      <c r="G50" s="7">
        <f t="shared" si="4"/>
        <v>2926.512</v>
      </c>
    </row>
    <row r="51">
      <c r="A51" s="8">
        <f t="shared" si="5"/>
        <v>50</v>
      </c>
      <c r="B51" s="16" t="s">
        <v>153</v>
      </c>
      <c r="C51" s="19">
        <v>23790.0</v>
      </c>
      <c r="D51" s="7">
        <f t="shared" si="2"/>
        <v>14274</v>
      </c>
      <c r="E51" s="7">
        <f t="shared" ref="E51:F51" si="53">if($D51&lt;15000,$D51*12/100,15000*12/100)</f>
        <v>1712.88</v>
      </c>
      <c r="F51" s="7">
        <f t="shared" si="53"/>
        <v>1712.88</v>
      </c>
      <c r="G51" s="7">
        <f t="shared" si="4"/>
        <v>3425.76</v>
      </c>
    </row>
    <row r="52">
      <c r="A52" s="8">
        <f t="shared" si="5"/>
        <v>51</v>
      </c>
      <c r="B52" s="16" t="s">
        <v>162</v>
      </c>
      <c r="C52" s="19">
        <v>22000.0</v>
      </c>
      <c r="D52" s="7">
        <f t="shared" si="2"/>
        <v>13200</v>
      </c>
      <c r="E52" s="7">
        <f t="shared" ref="E52:F52" si="54">if($D52&lt;15000,$D52*12/100,15000*12/100)</f>
        <v>1584</v>
      </c>
      <c r="F52" s="7">
        <f t="shared" si="54"/>
        <v>1584</v>
      </c>
      <c r="G52" s="7">
        <f t="shared" si="4"/>
        <v>3168</v>
      </c>
    </row>
    <row r="53">
      <c r="A53" s="8">
        <f t="shared" si="5"/>
        <v>52</v>
      </c>
      <c r="B53" s="16" t="s">
        <v>163</v>
      </c>
      <c r="C53" s="19">
        <v>7613.0</v>
      </c>
      <c r="D53" s="7">
        <f t="shared" si="2"/>
        <v>4567.8</v>
      </c>
      <c r="E53" s="7">
        <f t="shared" ref="E53:F53" si="55">if($D53&lt;15000,$D53*12/100,15000*12/100)</f>
        <v>548.136</v>
      </c>
      <c r="F53" s="7">
        <f t="shared" si="55"/>
        <v>548.136</v>
      </c>
      <c r="G53" s="7">
        <f t="shared" si="4"/>
        <v>1096.272</v>
      </c>
    </row>
    <row r="54">
      <c r="A54" s="8">
        <f t="shared" si="5"/>
        <v>53</v>
      </c>
      <c r="B54" s="16" t="s">
        <v>154</v>
      </c>
      <c r="C54" s="19">
        <v>17000.0</v>
      </c>
      <c r="D54" s="7">
        <f t="shared" si="2"/>
        <v>10200</v>
      </c>
      <c r="E54" s="7">
        <f t="shared" ref="E54:F54" si="56">if($D54&lt;15000,$D54*12/100,15000*12/100)</f>
        <v>1224</v>
      </c>
      <c r="F54" s="7">
        <f t="shared" si="56"/>
        <v>1224</v>
      </c>
      <c r="G54" s="7">
        <f t="shared" si="4"/>
        <v>2448</v>
      </c>
    </row>
    <row r="55">
      <c r="A55" s="8">
        <f t="shared" si="5"/>
        <v>54</v>
      </c>
      <c r="B55" s="16" t="s">
        <v>155</v>
      </c>
      <c r="C55" s="19">
        <v>23000.0</v>
      </c>
      <c r="D55" s="7">
        <f t="shared" si="2"/>
        <v>13800</v>
      </c>
      <c r="E55" s="7">
        <f t="shared" ref="E55:F55" si="57">if($D55&lt;15000,$D55*12/100,15000*12/100)</f>
        <v>1656</v>
      </c>
      <c r="F55" s="7">
        <f t="shared" si="57"/>
        <v>1656</v>
      </c>
      <c r="G55" s="7">
        <f t="shared" si="4"/>
        <v>3312</v>
      </c>
    </row>
    <row r="56">
      <c r="A56" s="8">
        <f t="shared" si="5"/>
        <v>55</v>
      </c>
      <c r="B56" s="16" t="s">
        <v>156</v>
      </c>
      <c r="C56" s="19">
        <v>17097.0</v>
      </c>
      <c r="D56" s="7">
        <f t="shared" si="2"/>
        <v>10258.2</v>
      </c>
      <c r="E56" s="7">
        <f t="shared" ref="E56:F56" si="58">if($D56&lt;15000,$D56*12/100,15000*12/100)</f>
        <v>1230.984</v>
      </c>
      <c r="F56" s="7">
        <f t="shared" si="58"/>
        <v>1230.984</v>
      </c>
      <c r="G56" s="7">
        <f t="shared" si="4"/>
        <v>2461.968</v>
      </c>
    </row>
    <row r="57">
      <c r="A57" s="8">
        <f t="shared" si="5"/>
        <v>56</v>
      </c>
      <c r="B57" s="16" t="s">
        <v>157</v>
      </c>
      <c r="C57" s="19">
        <v>20000.0</v>
      </c>
      <c r="D57" s="7">
        <f t="shared" si="2"/>
        <v>12000</v>
      </c>
      <c r="E57" s="7">
        <f t="shared" ref="E57:F57" si="59">if($D57&lt;15000,$D57*12/100,15000*12/100)</f>
        <v>1440</v>
      </c>
      <c r="F57" s="7">
        <f t="shared" si="59"/>
        <v>1440</v>
      </c>
      <c r="G57" s="7">
        <f t="shared" si="4"/>
        <v>2880</v>
      </c>
    </row>
    <row r="58">
      <c r="A58" s="8">
        <f t="shared" si="5"/>
        <v>57</v>
      </c>
      <c r="B58" s="16" t="s">
        <v>158</v>
      </c>
      <c r="C58" s="19">
        <v>6097.0</v>
      </c>
      <c r="D58" s="7">
        <f t="shared" si="2"/>
        <v>3658.2</v>
      </c>
      <c r="E58" s="7">
        <f t="shared" ref="E58:F58" si="60">if($D58&lt;15000,$D58*12/100,15000*12/100)</f>
        <v>438.984</v>
      </c>
      <c r="F58" s="7">
        <f t="shared" si="60"/>
        <v>438.984</v>
      </c>
      <c r="G58" s="7">
        <f t="shared" si="4"/>
        <v>877.968</v>
      </c>
    </row>
    <row r="59">
      <c r="A59" s="8">
        <f t="shared" si="5"/>
        <v>58</v>
      </c>
      <c r="B59" s="16" t="s">
        <v>159</v>
      </c>
      <c r="C59" s="7">
        <v>8903.0</v>
      </c>
      <c r="D59" s="7">
        <f t="shared" si="2"/>
        <v>5341.8</v>
      </c>
      <c r="E59" s="7">
        <f t="shared" ref="E59:F59" si="61">if($D59&lt;15000,$D59*12/100,15000*12/100)</f>
        <v>641.016</v>
      </c>
      <c r="F59" s="7">
        <f t="shared" si="61"/>
        <v>641.016</v>
      </c>
      <c r="G59" s="7">
        <f t="shared" si="4"/>
        <v>1282.032</v>
      </c>
    </row>
    <row r="60">
      <c r="A60" s="8">
        <f t="shared" si="5"/>
        <v>59</v>
      </c>
      <c r="B60" s="16" t="s">
        <v>160</v>
      </c>
      <c r="C60" s="7">
        <v>19000.0</v>
      </c>
      <c r="D60" s="7">
        <f t="shared" si="2"/>
        <v>11400</v>
      </c>
      <c r="E60" s="7">
        <f t="shared" ref="E60:F60" si="62">if($D60&lt;15000,$D60*12/100,15000*12/100)</f>
        <v>1368</v>
      </c>
      <c r="F60" s="7">
        <f t="shared" si="62"/>
        <v>1368</v>
      </c>
      <c r="G60" s="7">
        <f t="shared" si="4"/>
        <v>2736</v>
      </c>
    </row>
    <row r="61">
      <c r="A61" s="8">
        <f t="shared" si="5"/>
        <v>60</v>
      </c>
      <c r="B61" s="16" t="s">
        <v>161</v>
      </c>
      <c r="C61" s="7">
        <v>12871.0</v>
      </c>
      <c r="D61" s="7">
        <f t="shared" si="2"/>
        <v>7722.6</v>
      </c>
      <c r="E61" s="7">
        <f t="shared" ref="E61:F61" si="63">if($D61&lt;15000,$D61*12/100,15000*12/100)</f>
        <v>926.712</v>
      </c>
      <c r="F61" s="7">
        <f t="shared" si="63"/>
        <v>926.712</v>
      </c>
      <c r="G61" s="7">
        <f t="shared" si="4"/>
        <v>1853.424</v>
      </c>
    </row>
    <row r="62">
      <c r="A62" s="9" t="s">
        <v>34</v>
      </c>
      <c r="B62" s="10"/>
      <c r="C62" s="11">
        <f t="shared" ref="C62:G62" si="64">sum(C2:C61)</f>
        <v>1355373</v>
      </c>
      <c r="D62" s="11">
        <f t="shared" si="64"/>
        <v>813223.8</v>
      </c>
      <c r="E62" s="11">
        <f t="shared" si="64"/>
        <v>84739.464</v>
      </c>
      <c r="F62" s="11">
        <f t="shared" si="64"/>
        <v>84739.464</v>
      </c>
      <c r="G62" s="11">
        <f t="shared" si="64"/>
        <v>169478.928</v>
      </c>
    </row>
  </sheetData>
  <mergeCells count="1">
    <mergeCell ref="A62:B62"/>
  </mergeCells>
  <hyperlinks>
    <hyperlink r:id="rId1" ref="A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2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2" si="4">E2+F2</f>
        <v>3600</v>
      </c>
    </row>
    <row r="3">
      <c r="A3" s="8">
        <f t="shared" ref="A3:A62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60667.0</v>
      </c>
      <c r="D4" s="7">
        <f t="shared" si="2"/>
        <v>36400.2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19600.0</v>
      </c>
      <c r="D9" s="7">
        <f t="shared" si="2"/>
        <v>11760</v>
      </c>
      <c r="E9" s="7">
        <f t="shared" ref="E9:F9" si="11">if($D9&lt;15000,$D9*12/100,15000*12/100)</f>
        <v>1411.2</v>
      </c>
      <c r="F9" s="7">
        <f t="shared" si="11"/>
        <v>1411.2</v>
      </c>
      <c r="G9" s="7">
        <f t="shared" si="4"/>
        <v>2822.4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20650.0</v>
      </c>
      <c r="D11" s="7">
        <f t="shared" si="2"/>
        <v>12390</v>
      </c>
      <c r="E11" s="7">
        <f t="shared" ref="E11:F11" si="13">if($D11&lt;15000,$D11*12/100,15000*12/100)</f>
        <v>1486.8</v>
      </c>
      <c r="F11" s="7">
        <f t="shared" si="13"/>
        <v>1486.8</v>
      </c>
      <c r="G11" s="7">
        <f t="shared" si="4"/>
        <v>2973.6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113</v>
      </c>
      <c r="C15" s="7">
        <v>14000.0</v>
      </c>
      <c r="D15" s="7">
        <f t="shared" si="2"/>
        <v>8400</v>
      </c>
      <c r="E15" s="7">
        <f t="shared" ref="E15:F15" si="17">if($D15&lt;15000,$D15*12/100,15000*12/100)</f>
        <v>1008</v>
      </c>
      <c r="F15" s="7">
        <f t="shared" si="17"/>
        <v>1008</v>
      </c>
      <c r="G15" s="7">
        <f t="shared" si="4"/>
        <v>2016</v>
      </c>
    </row>
    <row r="16">
      <c r="A16" s="8">
        <f t="shared" si="5"/>
        <v>15</v>
      </c>
      <c r="B16" s="17" t="s">
        <v>114</v>
      </c>
      <c r="C16" s="7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115</v>
      </c>
      <c r="C17" s="7">
        <v>8400.0</v>
      </c>
      <c r="D17" s="7">
        <f t="shared" si="2"/>
        <v>5040</v>
      </c>
      <c r="E17" s="7">
        <f t="shared" ref="E17:F17" si="19">if($D17&lt;15000,$D17*12/100,15000*12/100)</f>
        <v>604.8</v>
      </c>
      <c r="F17" s="7">
        <f t="shared" si="19"/>
        <v>604.8</v>
      </c>
      <c r="G17" s="7">
        <f t="shared" si="4"/>
        <v>1209.6</v>
      </c>
    </row>
    <row r="18">
      <c r="A18" s="8">
        <f t="shared" si="5"/>
        <v>17</v>
      </c>
      <c r="B18" s="17" t="s">
        <v>116</v>
      </c>
      <c r="C18" s="7">
        <v>30000.0</v>
      </c>
      <c r="D18" s="7">
        <f t="shared" si="2"/>
        <v>18000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117</v>
      </c>
      <c r="C19" s="7">
        <v>16717.0</v>
      </c>
      <c r="D19" s="7">
        <f t="shared" si="2"/>
        <v>10030.2</v>
      </c>
      <c r="E19" s="7">
        <f t="shared" ref="E19:F19" si="21">if($D19&lt;15000,$D19*12/100,15000*12/100)</f>
        <v>1203.624</v>
      </c>
      <c r="F19" s="7">
        <f t="shared" si="21"/>
        <v>1203.624</v>
      </c>
      <c r="G19" s="7">
        <f t="shared" si="4"/>
        <v>2407.248</v>
      </c>
    </row>
    <row r="20">
      <c r="A20" s="8">
        <f t="shared" si="5"/>
        <v>19</v>
      </c>
      <c r="B20" s="17" t="s">
        <v>118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119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120</v>
      </c>
      <c r="C22" s="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17" t="s">
        <v>121</v>
      </c>
      <c r="C23" s="7">
        <v>15467.0</v>
      </c>
      <c r="D23" s="7">
        <f t="shared" si="2"/>
        <v>9280.2</v>
      </c>
      <c r="E23" s="7">
        <f t="shared" ref="E23:F23" si="25">if($D23&lt;15000,$D23*12/100,15000*12/100)</f>
        <v>1113.624</v>
      </c>
      <c r="F23" s="7">
        <f t="shared" si="25"/>
        <v>1113.624</v>
      </c>
      <c r="G23" s="7">
        <f t="shared" si="4"/>
        <v>2227.248</v>
      </c>
    </row>
    <row r="24">
      <c r="A24" s="8">
        <f t="shared" si="5"/>
        <v>23</v>
      </c>
      <c r="B24" s="17" t="s">
        <v>122</v>
      </c>
      <c r="C24" s="7">
        <v>16000.0</v>
      </c>
      <c r="D24" s="7">
        <f t="shared" si="2"/>
        <v>9600</v>
      </c>
      <c r="E24" s="7">
        <f t="shared" ref="E24:F24" si="26">if($D24&lt;15000,$D24*12/100,15000*12/100)</f>
        <v>1152</v>
      </c>
      <c r="F24" s="7">
        <f t="shared" si="26"/>
        <v>1152</v>
      </c>
      <c r="G24" s="7">
        <f t="shared" si="4"/>
        <v>2304</v>
      </c>
    </row>
    <row r="25">
      <c r="A25" s="8">
        <f t="shared" si="5"/>
        <v>24</v>
      </c>
      <c r="B25" s="17" t="s">
        <v>123</v>
      </c>
      <c r="C25" s="7">
        <v>7733.0</v>
      </c>
      <c r="D25" s="7">
        <f t="shared" si="2"/>
        <v>4639.8</v>
      </c>
      <c r="E25" s="7">
        <f t="shared" ref="E25:F25" si="27">if($D25&lt;15000,$D25*12/100,15000*12/100)</f>
        <v>556.776</v>
      </c>
      <c r="F25" s="7">
        <f t="shared" si="27"/>
        <v>556.776</v>
      </c>
      <c r="G25" s="7">
        <f t="shared" si="4"/>
        <v>1113.552</v>
      </c>
    </row>
    <row r="26">
      <c r="A26" s="8">
        <f t="shared" si="5"/>
        <v>25</v>
      </c>
      <c r="B26" s="17" t="s">
        <v>124</v>
      </c>
      <c r="C26" s="7">
        <v>18667.0</v>
      </c>
      <c r="D26" s="7">
        <f t="shared" si="2"/>
        <v>11200.2</v>
      </c>
      <c r="E26" s="7">
        <f t="shared" ref="E26:F26" si="28">if($D26&lt;15000,$D26*12/100,15000*12/100)</f>
        <v>1344.024</v>
      </c>
      <c r="F26" s="7">
        <f t="shared" si="28"/>
        <v>1344.024</v>
      </c>
      <c r="G26" s="7">
        <f t="shared" si="4"/>
        <v>2688.048</v>
      </c>
    </row>
    <row r="27">
      <c r="A27" s="8">
        <f t="shared" si="5"/>
        <v>26</v>
      </c>
      <c r="B27" s="17" t="s">
        <v>126</v>
      </c>
      <c r="C27" s="7">
        <v>24583.0</v>
      </c>
      <c r="D27" s="7">
        <f t="shared" si="2"/>
        <v>14749.8</v>
      </c>
      <c r="E27" s="7">
        <f t="shared" ref="E27:F27" si="29">if($D27&lt;15000,$D27*12/100,15000*12/100)</f>
        <v>1769.976</v>
      </c>
      <c r="F27" s="7">
        <f t="shared" si="29"/>
        <v>1769.976</v>
      </c>
      <c r="G27" s="7">
        <f t="shared" si="4"/>
        <v>3539.952</v>
      </c>
    </row>
    <row r="28">
      <c r="A28" s="8">
        <f t="shared" si="5"/>
        <v>27</v>
      </c>
      <c r="B28" s="17" t="s">
        <v>127</v>
      </c>
      <c r="C28" s="7">
        <v>21000.0</v>
      </c>
      <c r="D28" s="7">
        <f t="shared" si="2"/>
        <v>12600</v>
      </c>
      <c r="E28" s="7">
        <f t="shared" ref="E28:F28" si="30">if($D28&lt;15000,$D28*12/100,15000*12/100)</f>
        <v>1512</v>
      </c>
      <c r="F28" s="7">
        <f t="shared" si="30"/>
        <v>1512</v>
      </c>
      <c r="G28" s="7">
        <f t="shared" si="4"/>
        <v>3024</v>
      </c>
    </row>
    <row r="29">
      <c r="A29" s="8">
        <f t="shared" si="5"/>
        <v>28</v>
      </c>
      <c r="B29" s="17" t="s">
        <v>128</v>
      </c>
      <c r="C29" s="7">
        <v>5800.0</v>
      </c>
      <c r="D29" s="7">
        <f t="shared" si="2"/>
        <v>3480</v>
      </c>
      <c r="E29" s="7">
        <f t="shared" ref="E29:F29" si="31">if($D29&lt;15000,$D29*12/100,15000*12/100)</f>
        <v>417.6</v>
      </c>
      <c r="F29" s="7">
        <f t="shared" si="31"/>
        <v>417.6</v>
      </c>
      <c r="G29" s="7">
        <f t="shared" si="4"/>
        <v>835.2</v>
      </c>
    </row>
    <row r="30">
      <c r="A30" s="8">
        <f t="shared" si="5"/>
        <v>29</v>
      </c>
      <c r="B30" s="17" t="s">
        <v>129</v>
      </c>
      <c r="C30" s="7">
        <v>17000.0</v>
      </c>
      <c r="D30" s="7">
        <f t="shared" si="2"/>
        <v>10200</v>
      </c>
      <c r="E30" s="7">
        <f t="shared" ref="E30:F30" si="32">if($D30&lt;15000,$D30*12/100,15000*12/100)</f>
        <v>1224</v>
      </c>
      <c r="F30" s="7">
        <f t="shared" si="32"/>
        <v>1224</v>
      </c>
      <c r="G30" s="7">
        <f t="shared" si="4"/>
        <v>2448</v>
      </c>
    </row>
    <row r="31">
      <c r="A31" s="8">
        <f t="shared" si="5"/>
        <v>30</v>
      </c>
      <c r="B31" s="17" t="s">
        <v>130</v>
      </c>
      <c r="C31" s="7">
        <v>16000.0</v>
      </c>
      <c r="D31" s="7">
        <f t="shared" si="2"/>
        <v>9600</v>
      </c>
      <c r="E31" s="7">
        <f t="shared" ref="E31:F31" si="33">if($D31&lt;15000,$D31*12/100,15000*12/100)</f>
        <v>1152</v>
      </c>
      <c r="F31" s="7">
        <f t="shared" si="33"/>
        <v>1152</v>
      </c>
      <c r="G31" s="7">
        <f t="shared" si="4"/>
        <v>2304</v>
      </c>
    </row>
    <row r="32">
      <c r="A32" s="8">
        <f t="shared" si="5"/>
        <v>31</v>
      </c>
      <c r="B32" s="17" t="s">
        <v>131</v>
      </c>
      <c r="C32" s="7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17" t="s">
        <v>132</v>
      </c>
      <c r="C33" s="7">
        <v>22000.0</v>
      </c>
      <c r="D33" s="7">
        <f t="shared" si="2"/>
        <v>13200</v>
      </c>
      <c r="E33" s="7">
        <f t="shared" ref="E33:F33" si="35">if($D33&lt;15000,$D33*12/100,15000*12/100)</f>
        <v>1584</v>
      </c>
      <c r="F33" s="7">
        <f t="shared" si="35"/>
        <v>1584</v>
      </c>
      <c r="G33" s="7">
        <f t="shared" si="4"/>
        <v>3168</v>
      </c>
    </row>
    <row r="34">
      <c r="A34" s="8">
        <f t="shared" si="5"/>
        <v>33</v>
      </c>
      <c r="B34" s="18" t="s">
        <v>134</v>
      </c>
      <c r="C34" s="7">
        <v>12000.0</v>
      </c>
      <c r="D34" s="7">
        <f t="shared" si="2"/>
        <v>7200</v>
      </c>
      <c r="E34" s="7">
        <f t="shared" ref="E34:F34" si="36">if($D34&lt;15000,$D34*12/100,15000*12/100)</f>
        <v>864</v>
      </c>
      <c r="F34" s="7">
        <f t="shared" si="36"/>
        <v>864</v>
      </c>
      <c r="G34" s="7">
        <f t="shared" si="4"/>
        <v>1728</v>
      </c>
    </row>
    <row r="35">
      <c r="A35" s="8">
        <f t="shared" si="5"/>
        <v>34</v>
      </c>
      <c r="B35" s="18" t="s">
        <v>135</v>
      </c>
      <c r="C35" s="7">
        <v>24167.0</v>
      </c>
      <c r="D35" s="7">
        <f t="shared" si="2"/>
        <v>14500.2</v>
      </c>
      <c r="E35" s="7">
        <f t="shared" ref="E35:F35" si="37">if($D35&lt;15000,$D35*12/100,15000*12/100)</f>
        <v>1740.024</v>
      </c>
      <c r="F35" s="7">
        <f t="shared" si="37"/>
        <v>1740.024</v>
      </c>
      <c r="G35" s="7">
        <f t="shared" si="4"/>
        <v>3480.048</v>
      </c>
    </row>
    <row r="36">
      <c r="A36" s="8">
        <f t="shared" si="5"/>
        <v>35</v>
      </c>
      <c r="B36" s="18" t="s">
        <v>136</v>
      </c>
      <c r="C36" s="7">
        <v>35000.0</v>
      </c>
      <c r="D36" s="7">
        <f t="shared" si="2"/>
        <v>21000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137</v>
      </c>
      <c r="C37" s="19">
        <v>32000.0</v>
      </c>
      <c r="D37" s="7">
        <f t="shared" si="2"/>
        <v>19200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138</v>
      </c>
      <c r="C38" s="19">
        <v>25000.0</v>
      </c>
      <c r="D38" s="7">
        <f t="shared" si="2"/>
        <v>15000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139</v>
      </c>
      <c r="C39" s="19">
        <v>19333.0</v>
      </c>
      <c r="D39" s="7">
        <f t="shared" si="2"/>
        <v>11599.8</v>
      </c>
      <c r="E39" s="7">
        <f t="shared" ref="E39:F39" si="41">if($D39&lt;15000,$D39*12/100,15000*12/100)</f>
        <v>1391.976</v>
      </c>
      <c r="F39" s="7">
        <f t="shared" si="41"/>
        <v>1391.976</v>
      </c>
      <c r="G39" s="7">
        <f t="shared" si="4"/>
        <v>2783.952</v>
      </c>
    </row>
    <row r="40">
      <c r="A40" s="8">
        <f t="shared" si="5"/>
        <v>39</v>
      </c>
      <c r="B40" s="16" t="s">
        <v>140</v>
      </c>
      <c r="C40" s="19">
        <v>19333.0</v>
      </c>
      <c r="D40" s="7">
        <f t="shared" si="2"/>
        <v>11599.8</v>
      </c>
      <c r="E40" s="7">
        <f t="shared" ref="E40:F40" si="42">if($D40&lt;15000,$D40*12/100,15000*12/100)</f>
        <v>1391.976</v>
      </c>
      <c r="F40" s="7">
        <f t="shared" si="42"/>
        <v>1391.976</v>
      </c>
      <c r="G40" s="7">
        <f t="shared" si="4"/>
        <v>2783.952</v>
      </c>
    </row>
    <row r="41">
      <c r="A41" s="8">
        <f t="shared" si="5"/>
        <v>40</v>
      </c>
      <c r="B41" s="16" t="s">
        <v>152</v>
      </c>
      <c r="C41" s="19">
        <v>8000.0</v>
      </c>
      <c r="D41" s="7">
        <f t="shared" si="2"/>
        <v>4800</v>
      </c>
      <c r="E41" s="7">
        <f t="shared" ref="E41:F41" si="43">if($D41&lt;15000,$D41*12/100,15000*12/100)</f>
        <v>576</v>
      </c>
      <c r="F41" s="7">
        <f t="shared" si="43"/>
        <v>576</v>
      </c>
      <c r="G41" s="7">
        <f t="shared" si="4"/>
        <v>1152</v>
      </c>
    </row>
    <row r="42">
      <c r="A42" s="8">
        <f t="shared" si="5"/>
        <v>41</v>
      </c>
      <c r="B42" s="16" t="s">
        <v>142</v>
      </c>
      <c r="C42" s="19">
        <v>22000.0</v>
      </c>
      <c r="D42" s="7">
        <f t="shared" si="2"/>
        <v>13200</v>
      </c>
      <c r="E42" s="7">
        <f t="shared" ref="E42:F42" si="44">if($D42&lt;15000,$D42*12/100,15000*12/100)</f>
        <v>1584</v>
      </c>
      <c r="F42" s="7">
        <f t="shared" si="44"/>
        <v>1584</v>
      </c>
      <c r="G42" s="7">
        <f t="shared" si="4"/>
        <v>3168</v>
      </c>
    </row>
    <row r="43">
      <c r="A43" s="8">
        <f t="shared" si="5"/>
        <v>42</v>
      </c>
      <c r="B43" s="16" t="s">
        <v>143</v>
      </c>
      <c r="C43" s="19">
        <v>16433.0</v>
      </c>
      <c r="D43" s="7">
        <f t="shared" si="2"/>
        <v>9859.8</v>
      </c>
      <c r="E43" s="7">
        <f t="shared" ref="E43:F43" si="45">if($D43&lt;15000,$D43*12/100,15000*12/100)</f>
        <v>1183.176</v>
      </c>
      <c r="F43" s="7">
        <f t="shared" si="45"/>
        <v>1183.176</v>
      </c>
      <c r="G43" s="7">
        <f t="shared" si="4"/>
        <v>2366.352</v>
      </c>
    </row>
    <row r="44">
      <c r="A44" s="8">
        <f t="shared" si="5"/>
        <v>43</v>
      </c>
      <c r="B44" s="16" t="s">
        <v>144</v>
      </c>
      <c r="C44" s="19">
        <v>16433.0</v>
      </c>
      <c r="D44" s="7">
        <f t="shared" si="2"/>
        <v>9859.8</v>
      </c>
      <c r="E44" s="7">
        <f t="shared" ref="E44:F44" si="46">if($D44&lt;15000,$D44*12/100,15000*12/100)</f>
        <v>1183.176</v>
      </c>
      <c r="F44" s="7">
        <f t="shared" si="46"/>
        <v>1183.176</v>
      </c>
      <c r="G44" s="7">
        <f t="shared" si="4"/>
        <v>2366.352</v>
      </c>
    </row>
    <row r="45">
      <c r="A45" s="8">
        <f t="shared" si="5"/>
        <v>44</v>
      </c>
      <c r="B45" s="16" t="s">
        <v>145</v>
      </c>
      <c r="C45" s="19">
        <v>34417.0</v>
      </c>
      <c r="D45" s="7">
        <f t="shared" si="2"/>
        <v>20650.2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16" t="s">
        <v>146</v>
      </c>
      <c r="C46" s="19">
        <v>17000.0</v>
      </c>
      <c r="D46" s="7">
        <f t="shared" si="2"/>
        <v>10200</v>
      </c>
      <c r="E46" s="7">
        <f t="shared" ref="E46:F46" si="48">if($D46&lt;15000,$D46*12/100,15000*12/100)</f>
        <v>1224</v>
      </c>
      <c r="F46" s="7">
        <f t="shared" si="48"/>
        <v>1224</v>
      </c>
      <c r="G46" s="7">
        <f t="shared" si="4"/>
        <v>2448</v>
      </c>
    </row>
    <row r="47">
      <c r="A47" s="8">
        <f t="shared" si="5"/>
        <v>46</v>
      </c>
      <c r="B47" s="16" t="s">
        <v>148</v>
      </c>
      <c r="C47" s="19">
        <v>20700.0</v>
      </c>
      <c r="D47" s="7">
        <f t="shared" si="2"/>
        <v>12420</v>
      </c>
      <c r="E47" s="7">
        <f t="shared" ref="E47:F47" si="49">if($D47&lt;15000,$D47*12/100,15000*12/100)</f>
        <v>1490.4</v>
      </c>
      <c r="F47" s="7">
        <f t="shared" si="49"/>
        <v>1490.4</v>
      </c>
      <c r="G47" s="7">
        <f t="shared" si="4"/>
        <v>2980.8</v>
      </c>
    </row>
    <row r="48">
      <c r="A48" s="8">
        <f t="shared" si="5"/>
        <v>47</v>
      </c>
      <c r="B48" s="16" t="s">
        <v>149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</row>
    <row r="49">
      <c r="A49" s="8">
        <f t="shared" si="5"/>
        <v>48</v>
      </c>
      <c r="B49" s="16" t="s">
        <v>150</v>
      </c>
      <c r="C49" s="19">
        <v>18000.0</v>
      </c>
      <c r="D49" s="7">
        <f t="shared" si="2"/>
        <v>10800</v>
      </c>
      <c r="E49" s="7">
        <f t="shared" ref="E49:F49" si="51">if($D49&lt;15000,$D49*12/100,15000*12/100)</f>
        <v>1296</v>
      </c>
      <c r="F49" s="7">
        <f t="shared" si="51"/>
        <v>1296</v>
      </c>
      <c r="G49" s="7">
        <f t="shared" si="4"/>
        <v>2592</v>
      </c>
    </row>
    <row r="50">
      <c r="A50" s="8">
        <f t="shared" si="5"/>
        <v>49</v>
      </c>
      <c r="B50" s="16" t="s">
        <v>151</v>
      </c>
      <c r="C50" s="19">
        <v>21000.0</v>
      </c>
      <c r="D50" s="7">
        <f t="shared" si="2"/>
        <v>12600</v>
      </c>
      <c r="E50" s="7">
        <f t="shared" ref="E50:F50" si="52">if($D50&lt;15000,$D50*12/100,15000*12/100)</f>
        <v>1512</v>
      </c>
      <c r="F50" s="7">
        <f t="shared" si="52"/>
        <v>1512</v>
      </c>
      <c r="G50" s="7">
        <f t="shared" si="4"/>
        <v>3024</v>
      </c>
    </row>
    <row r="51">
      <c r="A51" s="8">
        <f t="shared" si="5"/>
        <v>50</v>
      </c>
      <c r="B51" s="16" t="s">
        <v>153</v>
      </c>
      <c r="C51" s="19">
        <v>25000.0</v>
      </c>
      <c r="D51" s="7">
        <f t="shared" si="2"/>
        <v>15000</v>
      </c>
      <c r="E51" s="7">
        <f t="shared" ref="E51:F51" si="53">if($D51&lt;15000,$D51*12/100,15000*12/100)</f>
        <v>1800</v>
      </c>
      <c r="F51" s="7">
        <f t="shared" si="53"/>
        <v>1800</v>
      </c>
      <c r="G51" s="7">
        <f t="shared" si="4"/>
        <v>3600</v>
      </c>
    </row>
    <row r="52">
      <c r="A52" s="8">
        <f t="shared" si="5"/>
        <v>51</v>
      </c>
      <c r="B52" s="16" t="s">
        <v>162</v>
      </c>
      <c r="C52" s="19">
        <v>22000.0</v>
      </c>
      <c r="D52" s="7">
        <f t="shared" si="2"/>
        <v>13200</v>
      </c>
      <c r="E52" s="7">
        <f t="shared" ref="E52:F52" si="54">if($D52&lt;15000,$D52*12/100,15000*12/100)</f>
        <v>1584</v>
      </c>
      <c r="F52" s="7">
        <f t="shared" si="54"/>
        <v>1584</v>
      </c>
      <c r="G52" s="7">
        <f t="shared" si="4"/>
        <v>3168</v>
      </c>
    </row>
    <row r="53">
      <c r="A53" s="8">
        <f t="shared" si="5"/>
        <v>52</v>
      </c>
      <c r="B53" s="16" t="s">
        <v>163</v>
      </c>
      <c r="C53" s="19">
        <v>7200.0</v>
      </c>
      <c r="D53" s="7">
        <f t="shared" si="2"/>
        <v>4320</v>
      </c>
      <c r="E53" s="7">
        <f t="shared" ref="E53:F53" si="55">if($D53&lt;15000,$D53*12/100,15000*12/100)</f>
        <v>518.4</v>
      </c>
      <c r="F53" s="7">
        <f t="shared" si="55"/>
        <v>518.4</v>
      </c>
      <c r="G53" s="7">
        <f t="shared" si="4"/>
        <v>1036.8</v>
      </c>
    </row>
    <row r="54">
      <c r="A54" s="8">
        <f t="shared" si="5"/>
        <v>53</v>
      </c>
      <c r="B54" s="16" t="s">
        <v>164</v>
      </c>
      <c r="C54" s="19">
        <v>8000.0</v>
      </c>
      <c r="D54" s="7">
        <f t="shared" si="2"/>
        <v>4800</v>
      </c>
      <c r="E54" s="7">
        <f t="shared" ref="E54:F54" si="56">if($D54&lt;15000,$D54*12/100,15000*12/100)</f>
        <v>576</v>
      </c>
      <c r="F54" s="7">
        <f t="shared" si="56"/>
        <v>576</v>
      </c>
      <c r="G54" s="7">
        <f t="shared" si="4"/>
        <v>1152</v>
      </c>
    </row>
    <row r="55">
      <c r="A55" s="8">
        <f t="shared" si="5"/>
        <v>54</v>
      </c>
      <c r="B55" s="16" t="s">
        <v>165</v>
      </c>
      <c r="C55" s="19">
        <v>20000.0</v>
      </c>
      <c r="D55" s="7">
        <f t="shared" si="2"/>
        <v>12000</v>
      </c>
      <c r="E55" s="7">
        <f t="shared" ref="E55:F55" si="57">if($D55&lt;15000,$D55*12/100,15000*12/100)</f>
        <v>1440</v>
      </c>
      <c r="F55" s="7">
        <f t="shared" si="57"/>
        <v>1440</v>
      </c>
      <c r="G55" s="7">
        <f t="shared" si="4"/>
        <v>2880</v>
      </c>
    </row>
    <row r="56">
      <c r="A56" s="8">
        <f t="shared" si="5"/>
        <v>55</v>
      </c>
      <c r="B56" s="16" t="s">
        <v>166</v>
      </c>
      <c r="C56" s="19">
        <v>10767.0</v>
      </c>
      <c r="D56" s="7">
        <f t="shared" si="2"/>
        <v>6460.2</v>
      </c>
      <c r="E56" s="7">
        <f t="shared" ref="E56:F56" si="58">if($D56&lt;15000,$D56*12/100,15000*12/100)</f>
        <v>775.224</v>
      </c>
      <c r="F56" s="7">
        <f t="shared" si="58"/>
        <v>775.224</v>
      </c>
      <c r="G56" s="7">
        <f t="shared" si="4"/>
        <v>1550.448</v>
      </c>
    </row>
    <row r="57">
      <c r="A57" s="8">
        <f t="shared" si="5"/>
        <v>56</v>
      </c>
      <c r="B57" s="16" t="s">
        <v>154</v>
      </c>
      <c r="C57" s="19">
        <v>17000.0</v>
      </c>
      <c r="D57" s="7">
        <f t="shared" si="2"/>
        <v>10200</v>
      </c>
      <c r="E57" s="7">
        <f t="shared" ref="E57:F57" si="59">if($D57&lt;15000,$D57*12/100,15000*12/100)</f>
        <v>1224</v>
      </c>
      <c r="F57" s="7">
        <f t="shared" si="59"/>
        <v>1224</v>
      </c>
      <c r="G57" s="7">
        <f t="shared" si="4"/>
        <v>2448</v>
      </c>
    </row>
    <row r="58">
      <c r="A58" s="8">
        <f t="shared" si="5"/>
        <v>57</v>
      </c>
      <c r="B58" s="16" t="s">
        <v>155</v>
      </c>
      <c r="C58" s="19">
        <v>23000.0</v>
      </c>
      <c r="D58" s="7">
        <f t="shared" si="2"/>
        <v>13800</v>
      </c>
      <c r="E58" s="7">
        <f t="shared" ref="E58:F58" si="60">if($D58&lt;15000,$D58*12/100,15000*12/100)</f>
        <v>1656</v>
      </c>
      <c r="F58" s="7">
        <f t="shared" si="60"/>
        <v>1656</v>
      </c>
      <c r="G58" s="7">
        <f t="shared" si="4"/>
        <v>3312</v>
      </c>
    </row>
    <row r="59">
      <c r="A59" s="8">
        <f t="shared" si="5"/>
        <v>58</v>
      </c>
      <c r="B59" s="16" t="s">
        <v>156</v>
      </c>
      <c r="C59" s="7">
        <v>20000.0</v>
      </c>
      <c r="D59" s="7">
        <f t="shared" si="2"/>
        <v>12000</v>
      </c>
      <c r="E59" s="7">
        <f t="shared" ref="E59:F59" si="61">if($D59&lt;15000,$D59*12/100,15000*12/100)</f>
        <v>1440</v>
      </c>
      <c r="F59" s="7">
        <f t="shared" si="61"/>
        <v>1440</v>
      </c>
      <c r="G59" s="7">
        <f t="shared" si="4"/>
        <v>2880</v>
      </c>
    </row>
    <row r="60">
      <c r="A60" s="8">
        <f t="shared" si="5"/>
        <v>59</v>
      </c>
      <c r="B60" s="16" t="s">
        <v>157</v>
      </c>
      <c r="C60" s="7">
        <v>20000.0</v>
      </c>
      <c r="D60" s="7">
        <f t="shared" si="2"/>
        <v>12000</v>
      </c>
      <c r="E60" s="7">
        <f t="shared" ref="E60:F60" si="62">if($D60&lt;15000,$D60*12/100,15000*12/100)</f>
        <v>1440</v>
      </c>
      <c r="F60" s="7">
        <f t="shared" si="62"/>
        <v>1440</v>
      </c>
      <c r="G60" s="7">
        <f t="shared" si="4"/>
        <v>2880</v>
      </c>
    </row>
    <row r="61">
      <c r="A61" s="8">
        <f t="shared" si="5"/>
        <v>60</v>
      </c>
      <c r="B61" s="16" t="s">
        <v>160</v>
      </c>
      <c r="C61" s="7">
        <v>19000.0</v>
      </c>
      <c r="D61" s="7">
        <f t="shared" si="2"/>
        <v>11400</v>
      </c>
      <c r="E61" s="7">
        <f t="shared" ref="E61:F61" si="63">if($D61&lt;15000,$D61*12/100,15000*12/100)</f>
        <v>1368</v>
      </c>
      <c r="F61" s="7">
        <f t="shared" si="63"/>
        <v>1368</v>
      </c>
      <c r="G61" s="7">
        <f t="shared" si="4"/>
        <v>2736</v>
      </c>
    </row>
    <row r="62">
      <c r="A62" s="8">
        <f t="shared" si="5"/>
        <v>61</v>
      </c>
      <c r="B62" s="16" t="s">
        <v>161</v>
      </c>
      <c r="C62" s="7">
        <v>13767.0</v>
      </c>
      <c r="D62" s="7">
        <f t="shared" si="2"/>
        <v>8260.2</v>
      </c>
      <c r="E62" s="7">
        <f t="shared" ref="E62:F62" si="64">if($D62&lt;15000,$D62*12/100,15000*12/100)</f>
        <v>991.224</v>
      </c>
      <c r="F62" s="7">
        <f t="shared" si="64"/>
        <v>991.224</v>
      </c>
      <c r="G62" s="7">
        <f t="shared" si="4"/>
        <v>1982.448</v>
      </c>
    </row>
    <row r="63">
      <c r="A63" s="9" t="s">
        <v>34</v>
      </c>
      <c r="B63" s="10"/>
      <c r="C63" s="11">
        <f t="shared" ref="C63:G63" si="65">sum(C2:C62)</f>
        <v>1371834</v>
      </c>
      <c r="D63" s="11">
        <f t="shared" si="65"/>
        <v>823100.4</v>
      </c>
      <c r="E63" s="11">
        <f t="shared" si="65"/>
        <v>85950</v>
      </c>
      <c r="F63" s="11">
        <f t="shared" si="65"/>
        <v>85950</v>
      </c>
      <c r="G63" s="11">
        <f t="shared" si="65"/>
        <v>171900</v>
      </c>
    </row>
  </sheetData>
  <mergeCells count="1">
    <mergeCell ref="A63:B63"/>
  </mergeCells>
  <hyperlinks>
    <hyperlink r:id="rId1" ref="A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3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3" si="4">E2+F2</f>
        <v>3600</v>
      </c>
    </row>
    <row r="3">
      <c r="A3" s="8">
        <f t="shared" ref="A3:A63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62903.0</v>
      </c>
      <c r="D4" s="7">
        <f t="shared" si="2"/>
        <v>37741.8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21516.0</v>
      </c>
      <c r="D8" s="7">
        <f t="shared" si="2"/>
        <v>12909.6</v>
      </c>
      <c r="E8" s="7">
        <f t="shared" ref="E8:F8" si="10">if($D8&lt;15000,$D8*12/100,15000*12/100)</f>
        <v>1549.152</v>
      </c>
      <c r="F8" s="7">
        <f t="shared" si="10"/>
        <v>1549.152</v>
      </c>
      <c r="G8" s="7">
        <f t="shared" si="4"/>
        <v>3098.304</v>
      </c>
    </row>
    <row r="9">
      <c r="A9" s="8">
        <f t="shared" si="5"/>
        <v>8</v>
      </c>
      <c r="B9" s="17" t="s">
        <v>107</v>
      </c>
      <c r="C9" s="7">
        <v>20661.0</v>
      </c>
      <c r="D9" s="7">
        <f t="shared" si="2"/>
        <v>12396.6</v>
      </c>
      <c r="E9" s="7">
        <f t="shared" ref="E9:F9" si="11">if($D9&lt;15000,$D9*12/100,15000*12/100)</f>
        <v>1487.592</v>
      </c>
      <c r="F9" s="7">
        <f t="shared" si="11"/>
        <v>1487.592</v>
      </c>
      <c r="G9" s="7">
        <f t="shared" si="4"/>
        <v>2975.184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113</v>
      </c>
      <c r="C15" s="3">
        <v>0.0</v>
      </c>
      <c r="D15" s="7">
        <f t="shared" si="2"/>
        <v>0</v>
      </c>
      <c r="E15" s="7">
        <f t="shared" ref="E15:F15" si="17">if($D15&lt;15000,$D15*12/100,15000*12/100)</f>
        <v>0</v>
      </c>
      <c r="F15" s="7">
        <f t="shared" si="17"/>
        <v>0</v>
      </c>
      <c r="G15" s="7">
        <f t="shared" si="4"/>
        <v>0</v>
      </c>
    </row>
    <row r="16">
      <c r="A16" s="8">
        <f t="shared" si="5"/>
        <v>15</v>
      </c>
      <c r="B16" s="17" t="s">
        <v>114</v>
      </c>
      <c r="C16" s="7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17" t="s">
        <v>115</v>
      </c>
      <c r="C17" s="7">
        <v>8419.0</v>
      </c>
      <c r="D17" s="7">
        <f t="shared" si="2"/>
        <v>5051.4</v>
      </c>
      <c r="E17" s="7">
        <f t="shared" ref="E17:F17" si="19">if($D17&lt;15000,$D17*12/100,15000*12/100)</f>
        <v>606.168</v>
      </c>
      <c r="F17" s="7">
        <f t="shared" si="19"/>
        <v>606.168</v>
      </c>
      <c r="G17" s="7">
        <f t="shared" si="4"/>
        <v>1212.336</v>
      </c>
    </row>
    <row r="18">
      <c r="A18" s="8">
        <f t="shared" si="5"/>
        <v>17</v>
      </c>
      <c r="B18" s="17" t="s">
        <v>116</v>
      </c>
      <c r="C18" s="7">
        <v>30000.0</v>
      </c>
      <c r="D18" s="7">
        <f t="shared" si="2"/>
        <v>18000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17" t="s">
        <v>117</v>
      </c>
      <c r="C19" s="7">
        <v>17000.0</v>
      </c>
      <c r="D19" s="7">
        <f t="shared" si="2"/>
        <v>10200</v>
      </c>
      <c r="E19" s="7">
        <f t="shared" ref="E19:F19" si="21">if($D19&lt;15000,$D19*12/100,15000*12/100)</f>
        <v>1224</v>
      </c>
      <c r="F19" s="7">
        <f t="shared" si="21"/>
        <v>1224</v>
      </c>
      <c r="G19" s="7">
        <f t="shared" si="4"/>
        <v>2448</v>
      </c>
    </row>
    <row r="20">
      <c r="A20" s="8">
        <f t="shared" si="5"/>
        <v>19</v>
      </c>
      <c r="B20" s="17" t="s">
        <v>118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119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120</v>
      </c>
      <c r="C22" s="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17" t="s">
        <v>121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122</v>
      </c>
      <c r="C24" s="7">
        <v>16000.0</v>
      </c>
      <c r="D24" s="7">
        <f t="shared" si="2"/>
        <v>9600</v>
      </c>
      <c r="E24" s="7">
        <f t="shared" ref="E24:F24" si="26">if($D24&lt;15000,$D24*12/100,15000*12/100)</f>
        <v>1152</v>
      </c>
      <c r="F24" s="7">
        <f t="shared" si="26"/>
        <v>1152</v>
      </c>
      <c r="G24" s="7">
        <f t="shared" si="4"/>
        <v>2304</v>
      </c>
    </row>
    <row r="25">
      <c r="A25" s="8">
        <f t="shared" si="5"/>
        <v>24</v>
      </c>
      <c r="B25" s="17" t="s">
        <v>123</v>
      </c>
      <c r="C25" s="7">
        <v>8000.0</v>
      </c>
      <c r="D25" s="7">
        <f t="shared" si="2"/>
        <v>4800</v>
      </c>
      <c r="E25" s="7">
        <f t="shared" ref="E25:F25" si="27">if($D25&lt;15000,$D25*12/100,15000*12/100)</f>
        <v>576</v>
      </c>
      <c r="F25" s="7">
        <f t="shared" si="27"/>
        <v>576</v>
      </c>
      <c r="G25" s="7">
        <f t="shared" si="4"/>
        <v>1152</v>
      </c>
    </row>
    <row r="26">
      <c r="A26" s="8">
        <f t="shared" si="5"/>
        <v>25</v>
      </c>
      <c r="B26" s="17" t="s">
        <v>124</v>
      </c>
      <c r="C26" s="7">
        <v>16774.0</v>
      </c>
      <c r="D26" s="7">
        <f t="shared" si="2"/>
        <v>10064.4</v>
      </c>
      <c r="E26" s="7">
        <f t="shared" ref="E26:F26" si="28">if($D26&lt;15000,$D26*12/100,15000*12/100)</f>
        <v>1207.728</v>
      </c>
      <c r="F26" s="7">
        <f t="shared" si="28"/>
        <v>1207.728</v>
      </c>
      <c r="G26" s="7">
        <f t="shared" si="4"/>
        <v>2415.456</v>
      </c>
    </row>
    <row r="27">
      <c r="A27" s="8">
        <f t="shared" si="5"/>
        <v>26</v>
      </c>
      <c r="B27" s="17" t="s">
        <v>126</v>
      </c>
      <c r="C27" s="7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17" t="s">
        <v>127</v>
      </c>
      <c r="C28" s="7">
        <v>20661.0</v>
      </c>
      <c r="D28" s="7">
        <f t="shared" si="2"/>
        <v>12396.6</v>
      </c>
      <c r="E28" s="7">
        <f t="shared" ref="E28:F28" si="30">if($D28&lt;15000,$D28*12/100,15000*12/100)</f>
        <v>1487.592</v>
      </c>
      <c r="F28" s="7">
        <f t="shared" si="30"/>
        <v>1487.592</v>
      </c>
      <c r="G28" s="7">
        <f t="shared" si="4"/>
        <v>2975.184</v>
      </c>
    </row>
    <row r="29">
      <c r="A29" s="8">
        <f t="shared" si="5"/>
        <v>28</v>
      </c>
      <c r="B29" s="17" t="s">
        <v>128</v>
      </c>
      <c r="C29" s="7">
        <v>6000.0</v>
      </c>
      <c r="D29" s="7">
        <f t="shared" si="2"/>
        <v>3600</v>
      </c>
      <c r="E29" s="7">
        <f t="shared" ref="E29:F29" si="31">if($D29&lt;15000,$D29*12/100,15000*12/100)</f>
        <v>432</v>
      </c>
      <c r="F29" s="7">
        <f t="shared" si="31"/>
        <v>432</v>
      </c>
      <c r="G29" s="7">
        <f t="shared" si="4"/>
        <v>864</v>
      </c>
    </row>
    <row r="30">
      <c r="A30" s="8">
        <f t="shared" si="5"/>
        <v>29</v>
      </c>
      <c r="B30" s="17" t="s">
        <v>129</v>
      </c>
      <c r="C30" s="7">
        <v>17000.0</v>
      </c>
      <c r="D30" s="7">
        <f t="shared" si="2"/>
        <v>10200</v>
      </c>
      <c r="E30" s="7">
        <f t="shared" ref="E30:F30" si="32">if($D30&lt;15000,$D30*12/100,15000*12/100)</f>
        <v>1224</v>
      </c>
      <c r="F30" s="7">
        <f t="shared" si="32"/>
        <v>1224</v>
      </c>
      <c r="G30" s="7">
        <f t="shared" si="4"/>
        <v>2448</v>
      </c>
    </row>
    <row r="31">
      <c r="A31" s="8">
        <f t="shared" si="5"/>
        <v>30</v>
      </c>
      <c r="B31" s="17" t="s">
        <v>130</v>
      </c>
      <c r="C31" s="7">
        <v>16000.0</v>
      </c>
      <c r="D31" s="7">
        <f t="shared" si="2"/>
        <v>9600</v>
      </c>
      <c r="E31" s="7">
        <f t="shared" ref="E31:F31" si="33">if($D31&lt;15000,$D31*12/100,15000*12/100)</f>
        <v>1152</v>
      </c>
      <c r="F31" s="7">
        <f t="shared" si="33"/>
        <v>1152</v>
      </c>
      <c r="G31" s="7">
        <f t="shared" si="4"/>
        <v>2304</v>
      </c>
    </row>
    <row r="32">
      <c r="A32" s="8">
        <f t="shared" si="5"/>
        <v>31</v>
      </c>
      <c r="B32" s="17" t="s">
        <v>131</v>
      </c>
      <c r="C32" s="7">
        <v>15226.0</v>
      </c>
      <c r="D32" s="7">
        <f t="shared" si="2"/>
        <v>9135.6</v>
      </c>
      <c r="E32" s="7">
        <f t="shared" ref="E32:F32" si="34">if($D32&lt;15000,$D32*12/100,15000*12/100)</f>
        <v>1096.272</v>
      </c>
      <c r="F32" s="7">
        <f t="shared" si="34"/>
        <v>1096.272</v>
      </c>
      <c r="G32" s="7">
        <f t="shared" si="4"/>
        <v>2192.544</v>
      </c>
    </row>
    <row r="33">
      <c r="A33" s="8">
        <f t="shared" si="5"/>
        <v>32</v>
      </c>
      <c r="B33" s="17" t="s">
        <v>132</v>
      </c>
      <c r="C33" s="7">
        <v>22000.0</v>
      </c>
      <c r="D33" s="7">
        <f t="shared" si="2"/>
        <v>13200</v>
      </c>
      <c r="E33" s="7">
        <f t="shared" ref="E33:F33" si="35">if($D33&lt;15000,$D33*12/100,15000*12/100)</f>
        <v>1584</v>
      </c>
      <c r="F33" s="7">
        <f t="shared" si="35"/>
        <v>1584</v>
      </c>
      <c r="G33" s="7">
        <f t="shared" si="4"/>
        <v>3168</v>
      </c>
    </row>
    <row r="34">
      <c r="A34" s="8">
        <f t="shared" si="5"/>
        <v>33</v>
      </c>
      <c r="B34" s="18" t="s">
        <v>134</v>
      </c>
      <c r="C34" s="7">
        <v>12000.0</v>
      </c>
      <c r="D34" s="7">
        <f t="shared" si="2"/>
        <v>7200</v>
      </c>
      <c r="E34" s="7">
        <f t="shared" ref="E34:F34" si="36">if($D34&lt;15000,$D34*12/100,15000*12/100)</f>
        <v>864</v>
      </c>
      <c r="F34" s="7">
        <f t="shared" si="36"/>
        <v>864</v>
      </c>
      <c r="G34" s="7">
        <f t="shared" si="4"/>
        <v>1728</v>
      </c>
    </row>
    <row r="35">
      <c r="A35" s="8">
        <f t="shared" si="5"/>
        <v>34</v>
      </c>
      <c r="B35" s="18" t="s">
        <v>135</v>
      </c>
      <c r="C35" s="7">
        <v>25000.0</v>
      </c>
      <c r="D35" s="7">
        <f t="shared" si="2"/>
        <v>15000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136</v>
      </c>
      <c r="C36" s="7">
        <v>35000.0</v>
      </c>
      <c r="D36" s="7">
        <f t="shared" si="2"/>
        <v>21000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137</v>
      </c>
      <c r="C37" s="19">
        <v>32000.0</v>
      </c>
      <c r="D37" s="7">
        <f t="shared" si="2"/>
        <v>19200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138</v>
      </c>
      <c r="C38" s="19">
        <v>25000.0</v>
      </c>
      <c r="D38" s="7">
        <f t="shared" si="2"/>
        <v>15000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16" t="s">
        <v>139</v>
      </c>
      <c r="C39" s="19">
        <v>19355.0</v>
      </c>
      <c r="D39" s="7">
        <f t="shared" si="2"/>
        <v>11613</v>
      </c>
      <c r="E39" s="7">
        <f t="shared" ref="E39:F39" si="41">if($D39&lt;15000,$D39*12/100,15000*12/100)</f>
        <v>1393.56</v>
      </c>
      <c r="F39" s="7">
        <f t="shared" si="41"/>
        <v>1393.56</v>
      </c>
      <c r="G39" s="7">
        <f t="shared" si="4"/>
        <v>2787.12</v>
      </c>
    </row>
    <row r="40">
      <c r="A40" s="8">
        <f t="shared" si="5"/>
        <v>39</v>
      </c>
      <c r="B40" s="16" t="s">
        <v>140</v>
      </c>
      <c r="C40" s="19">
        <v>19355.0</v>
      </c>
      <c r="D40" s="7">
        <f t="shared" si="2"/>
        <v>11613</v>
      </c>
      <c r="E40" s="7">
        <f t="shared" ref="E40:F40" si="42">if($D40&lt;15000,$D40*12/100,15000*12/100)</f>
        <v>1393.56</v>
      </c>
      <c r="F40" s="7">
        <f t="shared" si="42"/>
        <v>1393.56</v>
      </c>
      <c r="G40" s="7">
        <f t="shared" si="4"/>
        <v>2787.12</v>
      </c>
    </row>
    <row r="41">
      <c r="A41" s="8">
        <f t="shared" si="5"/>
        <v>40</v>
      </c>
      <c r="B41" s="16" t="s">
        <v>152</v>
      </c>
      <c r="C41" s="19">
        <v>8000.0</v>
      </c>
      <c r="D41" s="7">
        <f t="shared" si="2"/>
        <v>4800</v>
      </c>
      <c r="E41" s="7">
        <f t="shared" ref="E41:F41" si="43">if($D41&lt;15000,$D41*12/100,15000*12/100)</f>
        <v>576</v>
      </c>
      <c r="F41" s="7">
        <f t="shared" si="43"/>
        <v>576</v>
      </c>
      <c r="G41" s="7">
        <f t="shared" si="4"/>
        <v>1152</v>
      </c>
    </row>
    <row r="42">
      <c r="A42" s="8">
        <f t="shared" si="5"/>
        <v>41</v>
      </c>
      <c r="B42" s="16" t="s">
        <v>142</v>
      </c>
      <c r="C42" s="19">
        <v>21290.0</v>
      </c>
      <c r="D42" s="7">
        <f t="shared" si="2"/>
        <v>12774</v>
      </c>
      <c r="E42" s="7">
        <f t="shared" ref="E42:F42" si="44">if($D42&lt;15000,$D42*12/100,15000*12/100)</f>
        <v>1532.88</v>
      </c>
      <c r="F42" s="7">
        <f t="shared" si="44"/>
        <v>1532.88</v>
      </c>
      <c r="G42" s="7">
        <f t="shared" si="4"/>
        <v>3065.76</v>
      </c>
    </row>
    <row r="43">
      <c r="A43" s="8">
        <f t="shared" si="5"/>
        <v>42</v>
      </c>
      <c r="B43" s="16" t="s">
        <v>143</v>
      </c>
      <c r="C43" s="19">
        <v>17000.0</v>
      </c>
      <c r="D43" s="7">
        <f t="shared" si="2"/>
        <v>10200</v>
      </c>
      <c r="E43" s="7">
        <f t="shared" ref="E43:F43" si="45">if($D43&lt;15000,$D43*12/100,15000*12/100)</f>
        <v>1224</v>
      </c>
      <c r="F43" s="7">
        <f t="shared" si="45"/>
        <v>1224</v>
      </c>
      <c r="G43" s="7">
        <f t="shared" si="4"/>
        <v>2448</v>
      </c>
    </row>
    <row r="44">
      <c r="A44" s="8">
        <f t="shared" si="5"/>
        <v>43</v>
      </c>
      <c r="B44" s="16" t="s">
        <v>144</v>
      </c>
      <c r="C44" s="20">
        <v>0.0</v>
      </c>
      <c r="D44" s="7">
        <f t="shared" si="2"/>
        <v>0</v>
      </c>
      <c r="E44" s="7">
        <f t="shared" ref="E44:F44" si="46">if($D44&lt;15000,$D44*12/100,15000*12/100)</f>
        <v>0</v>
      </c>
      <c r="F44" s="7">
        <f t="shared" si="46"/>
        <v>0</v>
      </c>
      <c r="G44" s="7">
        <f t="shared" si="4"/>
        <v>0</v>
      </c>
    </row>
    <row r="45">
      <c r="A45" s="8">
        <f t="shared" si="5"/>
        <v>44</v>
      </c>
      <c r="B45" s="16" t="s">
        <v>145</v>
      </c>
      <c r="C45" s="19">
        <v>35000.0</v>
      </c>
      <c r="D45" s="7">
        <f t="shared" si="2"/>
        <v>21000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16" t="s">
        <v>146</v>
      </c>
      <c r="C46" s="19">
        <v>17000.0</v>
      </c>
      <c r="D46" s="7">
        <f t="shared" si="2"/>
        <v>10200</v>
      </c>
      <c r="E46" s="7">
        <f t="shared" ref="E46:F46" si="48">if($D46&lt;15000,$D46*12/100,15000*12/100)</f>
        <v>1224</v>
      </c>
      <c r="F46" s="7">
        <f t="shared" si="48"/>
        <v>1224</v>
      </c>
      <c r="G46" s="7">
        <f t="shared" si="4"/>
        <v>2448</v>
      </c>
    </row>
    <row r="47">
      <c r="A47" s="8">
        <f t="shared" si="5"/>
        <v>46</v>
      </c>
      <c r="B47" s="16" t="s">
        <v>148</v>
      </c>
      <c r="C47" s="19">
        <v>23000.0</v>
      </c>
      <c r="D47" s="7">
        <f t="shared" si="2"/>
        <v>13800</v>
      </c>
      <c r="E47" s="7">
        <f t="shared" ref="E47:F47" si="49">if($D47&lt;15000,$D47*12/100,15000*12/100)</f>
        <v>1656</v>
      </c>
      <c r="F47" s="7">
        <f t="shared" si="49"/>
        <v>1656</v>
      </c>
      <c r="G47" s="7">
        <f t="shared" si="4"/>
        <v>3312</v>
      </c>
    </row>
    <row r="48">
      <c r="A48" s="8">
        <f t="shared" si="5"/>
        <v>47</v>
      </c>
      <c r="B48" s="16" t="s">
        <v>149</v>
      </c>
      <c r="C48" s="1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</row>
    <row r="49">
      <c r="A49" s="8">
        <f t="shared" si="5"/>
        <v>48</v>
      </c>
      <c r="B49" s="16" t="s">
        <v>150</v>
      </c>
      <c r="C49" s="19">
        <v>17419.0</v>
      </c>
      <c r="D49" s="7">
        <f t="shared" si="2"/>
        <v>10451.4</v>
      </c>
      <c r="E49" s="7">
        <f t="shared" ref="E49:F49" si="51">if($D49&lt;15000,$D49*12/100,15000*12/100)</f>
        <v>1254.168</v>
      </c>
      <c r="F49" s="7">
        <f t="shared" si="51"/>
        <v>1254.168</v>
      </c>
      <c r="G49" s="7">
        <f t="shared" si="4"/>
        <v>2508.336</v>
      </c>
    </row>
    <row r="50">
      <c r="A50" s="8">
        <f t="shared" si="5"/>
        <v>49</v>
      </c>
      <c r="B50" s="16" t="s">
        <v>151</v>
      </c>
      <c r="C50" s="19">
        <v>20661.0</v>
      </c>
      <c r="D50" s="7">
        <f t="shared" si="2"/>
        <v>12396.6</v>
      </c>
      <c r="E50" s="7">
        <f t="shared" ref="E50:F50" si="52">if($D50&lt;15000,$D50*12/100,15000*12/100)</f>
        <v>1487.592</v>
      </c>
      <c r="F50" s="7">
        <f t="shared" si="52"/>
        <v>1487.592</v>
      </c>
      <c r="G50" s="7">
        <f t="shared" si="4"/>
        <v>2975.184</v>
      </c>
    </row>
    <row r="51">
      <c r="A51" s="8">
        <f t="shared" si="5"/>
        <v>50</v>
      </c>
      <c r="B51" s="16" t="s">
        <v>153</v>
      </c>
      <c r="C51" s="19">
        <v>23387.0</v>
      </c>
      <c r="D51" s="7">
        <f t="shared" si="2"/>
        <v>14032.2</v>
      </c>
      <c r="E51" s="7">
        <f t="shared" ref="E51:F51" si="53">if($D51&lt;15000,$D51*12/100,15000*12/100)</f>
        <v>1683.864</v>
      </c>
      <c r="F51" s="7">
        <f t="shared" si="53"/>
        <v>1683.864</v>
      </c>
      <c r="G51" s="7">
        <f t="shared" si="4"/>
        <v>3367.728</v>
      </c>
    </row>
    <row r="52">
      <c r="A52" s="8">
        <f t="shared" si="5"/>
        <v>51</v>
      </c>
      <c r="B52" s="16" t="s">
        <v>162</v>
      </c>
      <c r="C52" s="19">
        <v>22000.0</v>
      </c>
      <c r="D52" s="7">
        <f t="shared" si="2"/>
        <v>13200</v>
      </c>
      <c r="E52" s="7">
        <f t="shared" ref="E52:F52" si="54">if($D52&lt;15000,$D52*12/100,15000*12/100)</f>
        <v>1584</v>
      </c>
      <c r="F52" s="7">
        <f t="shared" si="54"/>
        <v>1584</v>
      </c>
      <c r="G52" s="7">
        <f t="shared" si="4"/>
        <v>3168</v>
      </c>
    </row>
    <row r="53">
      <c r="A53" s="8">
        <f t="shared" si="5"/>
        <v>52</v>
      </c>
      <c r="B53" s="16" t="s">
        <v>163</v>
      </c>
      <c r="C53" s="19">
        <v>8000.0</v>
      </c>
      <c r="D53" s="7">
        <f t="shared" si="2"/>
        <v>4800</v>
      </c>
      <c r="E53" s="7">
        <f t="shared" ref="E53:F53" si="55">if($D53&lt;15000,$D53*12/100,15000*12/100)</f>
        <v>576</v>
      </c>
      <c r="F53" s="7">
        <f t="shared" si="55"/>
        <v>576</v>
      </c>
      <c r="G53" s="7">
        <f t="shared" si="4"/>
        <v>1152</v>
      </c>
    </row>
    <row r="54">
      <c r="A54" s="8">
        <f t="shared" si="5"/>
        <v>53</v>
      </c>
      <c r="B54" s="16" t="s">
        <v>164</v>
      </c>
      <c r="C54" s="19">
        <v>20000.0</v>
      </c>
      <c r="D54" s="7">
        <f t="shared" si="2"/>
        <v>12000</v>
      </c>
      <c r="E54" s="7">
        <f t="shared" ref="E54:F54" si="56">if($D54&lt;15000,$D54*12/100,15000*12/100)</f>
        <v>1440</v>
      </c>
      <c r="F54" s="7">
        <f t="shared" si="56"/>
        <v>1440</v>
      </c>
      <c r="G54" s="7">
        <f t="shared" si="4"/>
        <v>2880</v>
      </c>
    </row>
    <row r="55">
      <c r="A55" s="8">
        <f t="shared" si="5"/>
        <v>54</v>
      </c>
      <c r="B55" s="16" t="s">
        <v>165</v>
      </c>
      <c r="C55" s="19">
        <v>20000.0</v>
      </c>
      <c r="D55" s="7">
        <f t="shared" si="2"/>
        <v>12000</v>
      </c>
      <c r="E55" s="7">
        <f t="shared" ref="E55:F55" si="57">if($D55&lt;15000,$D55*12/100,15000*12/100)</f>
        <v>1440</v>
      </c>
      <c r="F55" s="7">
        <f t="shared" si="57"/>
        <v>1440</v>
      </c>
      <c r="G55" s="7">
        <f t="shared" si="4"/>
        <v>2880</v>
      </c>
    </row>
    <row r="56">
      <c r="A56" s="8">
        <f t="shared" si="5"/>
        <v>55</v>
      </c>
      <c r="B56" s="16" t="s">
        <v>166</v>
      </c>
      <c r="C56" s="19">
        <v>16452.0</v>
      </c>
      <c r="D56" s="7">
        <f t="shared" si="2"/>
        <v>9871.2</v>
      </c>
      <c r="E56" s="7">
        <f t="shared" ref="E56:F56" si="58">if($D56&lt;15000,$D56*12/100,15000*12/100)</f>
        <v>1184.544</v>
      </c>
      <c r="F56" s="7">
        <f t="shared" si="58"/>
        <v>1184.544</v>
      </c>
      <c r="G56" s="7">
        <f t="shared" si="4"/>
        <v>2369.088</v>
      </c>
    </row>
    <row r="57">
      <c r="A57" s="8">
        <f t="shared" si="5"/>
        <v>56</v>
      </c>
      <c r="B57" s="16" t="s">
        <v>154</v>
      </c>
      <c r="C57" s="19">
        <v>17000.0</v>
      </c>
      <c r="D57" s="7">
        <f t="shared" si="2"/>
        <v>10200</v>
      </c>
      <c r="E57" s="7">
        <f t="shared" ref="E57:F57" si="59">if($D57&lt;15000,$D57*12/100,15000*12/100)</f>
        <v>1224</v>
      </c>
      <c r="F57" s="7">
        <f t="shared" si="59"/>
        <v>1224</v>
      </c>
      <c r="G57" s="7">
        <f t="shared" si="4"/>
        <v>2448</v>
      </c>
    </row>
    <row r="58">
      <c r="A58" s="8">
        <f t="shared" si="5"/>
        <v>57</v>
      </c>
      <c r="B58" s="16" t="s">
        <v>155</v>
      </c>
      <c r="C58" s="19">
        <v>23000.0</v>
      </c>
      <c r="D58" s="7">
        <f t="shared" si="2"/>
        <v>13800</v>
      </c>
      <c r="E58" s="7">
        <f t="shared" ref="E58:F58" si="60">if($D58&lt;15000,$D58*12/100,15000*12/100)</f>
        <v>1656</v>
      </c>
      <c r="F58" s="7">
        <f t="shared" si="60"/>
        <v>1656</v>
      </c>
      <c r="G58" s="7">
        <f t="shared" si="4"/>
        <v>3312</v>
      </c>
    </row>
    <row r="59">
      <c r="A59" s="8">
        <f t="shared" si="5"/>
        <v>58</v>
      </c>
      <c r="B59" s="16" t="s">
        <v>156</v>
      </c>
      <c r="C59" s="7">
        <v>19355.0</v>
      </c>
      <c r="D59" s="7">
        <f t="shared" si="2"/>
        <v>11613</v>
      </c>
      <c r="E59" s="7">
        <f t="shared" ref="E59:F59" si="61">if($D59&lt;15000,$D59*12/100,15000*12/100)</f>
        <v>1393.56</v>
      </c>
      <c r="F59" s="7">
        <f t="shared" si="61"/>
        <v>1393.56</v>
      </c>
      <c r="G59" s="7">
        <f t="shared" si="4"/>
        <v>2787.12</v>
      </c>
    </row>
    <row r="60">
      <c r="A60" s="8">
        <f t="shared" si="5"/>
        <v>59</v>
      </c>
      <c r="B60" s="16" t="s">
        <v>157</v>
      </c>
      <c r="C60" s="7">
        <v>20000.0</v>
      </c>
      <c r="D60" s="7">
        <f t="shared" si="2"/>
        <v>12000</v>
      </c>
      <c r="E60" s="7">
        <f t="shared" ref="E60:F60" si="62">if($D60&lt;15000,$D60*12/100,15000*12/100)</f>
        <v>1440</v>
      </c>
      <c r="F60" s="7">
        <f t="shared" si="62"/>
        <v>1440</v>
      </c>
      <c r="G60" s="7">
        <f t="shared" si="4"/>
        <v>2880</v>
      </c>
    </row>
    <row r="61">
      <c r="A61" s="8">
        <f t="shared" si="5"/>
        <v>60</v>
      </c>
      <c r="B61" s="16" t="s">
        <v>160</v>
      </c>
      <c r="C61" s="7">
        <v>16242.0</v>
      </c>
      <c r="D61" s="7">
        <f t="shared" si="2"/>
        <v>9745.2</v>
      </c>
      <c r="E61" s="7">
        <f t="shared" ref="E61:F61" si="63">if($D61&lt;15000,$D61*12/100,15000*12/100)</f>
        <v>1169.424</v>
      </c>
      <c r="F61" s="7">
        <f t="shared" si="63"/>
        <v>1169.424</v>
      </c>
      <c r="G61" s="7">
        <f t="shared" si="4"/>
        <v>2338.848</v>
      </c>
    </row>
    <row r="62">
      <c r="A62" s="8">
        <f t="shared" si="5"/>
        <v>61</v>
      </c>
      <c r="B62" s="16" t="s">
        <v>161</v>
      </c>
      <c r="C62" s="7">
        <v>13548.0</v>
      </c>
      <c r="D62" s="7">
        <f t="shared" si="2"/>
        <v>8128.8</v>
      </c>
      <c r="E62" s="7">
        <f t="shared" ref="E62:F62" si="64">if($D62&lt;15000,$D62*12/100,15000*12/100)</f>
        <v>975.456</v>
      </c>
      <c r="F62" s="7">
        <f t="shared" si="64"/>
        <v>975.456</v>
      </c>
      <c r="G62" s="7">
        <f t="shared" si="4"/>
        <v>1950.912</v>
      </c>
    </row>
    <row r="63">
      <c r="A63" s="8">
        <f t="shared" si="5"/>
        <v>62</v>
      </c>
      <c r="B63" s="16" t="s">
        <v>167</v>
      </c>
      <c r="C63" s="7">
        <v>5194.0</v>
      </c>
      <c r="D63" s="7">
        <f t="shared" si="2"/>
        <v>3116.4</v>
      </c>
      <c r="E63" s="7">
        <f t="shared" ref="E63:F63" si="65">if($D63&lt;15000,$D63*12/100,15000*12/100)</f>
        <v>373.968</v>
      </c>
      <c r="F63" s="7">
        <f t="shared" si="65"/>
        <v>373.968</v>
      </c>
      <c r="G63" s="7">
        <f t="shared" si="4"/>
        <v>747.936</v>
      </c>
    </row>
    <row r="64">
      <c r="A64" s="9" t="s">
        <v>34</v>
      </c>
      <c r="B64" s="10"/>
      <c r="C64" s="11">
        <f t="shared" ref="C64:G64" si="66">sum(C2:C63)</f>
        <v>1363418</v>
      </c>
      <c r="D64" s="11">
        <f t="shared" si="66"/>
        <v>818050.8</v>
      </c>
      <c r="E64" s="11">
        <f t="shared" si="66"/>
        <v>85141.08</v>
      </c>
      <c r="F64" s="11">
        <f t="shared" si="66"/>
        <v>85141.08</v>
      </c>
      <c r="G64" s="11">
        <f t="shared" si="66"/>
        <v>170282.16</v>
      </c>
    </row>
  </sheetData>
  <mergeCells count="1">
    <mergeCell ref="A64:B64"/>
  </mergeCells>
  <hyperlinks>
    <hyperlink r:id="rId1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1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1" si="4">E2+F2</f>
        <v>3600</v>
      </c>
    </row>
    <row r="3">
      <c r="A3" s="8">
        <f t="shared" ref="A3:A61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22258.0</v>
      </c>
      <c r="D8" s="7">
        <f t="shared" si="2"/>
        <v>13354.8</v>
      </c>
      <c r="E8" s="7">
        <f t="shared" ref="E8:F8" si="10">if($D8&lt;15000,$D8*12/100,15000*12/100)</f>
        <v>1602.576</v>
      </c>
      <c r="F8" s="7">
        <f t="shared" si="10"/>
        <v>1602.576</v>
      </c>
      <c r="G8" s="7">
        <f t="shared" si="4"/>
        <v>3205.152</v>
      </c>
    </row>
    <row r="9">
      <c r="A9" s="8">
        <f t="shared" si="5"/>
        <v>8</v>
      </c>
      <c r="B9" s="17" t="s">
        <v>107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</row>
    <row r="10">
      <c r="A10" s="8">
        <f t="shared" si="5"/>
        <v>9</v>
      </c>
      <c r="B10" s="17" t="s">
        <v>108</v>
      </c>
      <c r="C10" s="7">
        <v>24194.0</v>
      </c>
      <c r="D10" s="7">
        <f t="shared" si="2"/>
        <v>14516.4</v>
      </c>
      <c r="E10" s="7">
        <f t="shared" ref="E10:F10" si="12">if($D10&lt;15000,$D10*12/100,15000*12/100)</f>
        <v>1741.968</v>
      </c>
      <c r="F10" s="7">
        <f t="shared" si="12"/>
        <v>1741.968</v>
      </c>
      <c r="G10" s="7">
        <f t="shared" si="4"/>
        <v>3483.936</v>
      </c>
    </row>
    <row r="11">
      <c r="A11" s="8">
        <f t="shared" si="5"/>
        <v>10</v>
      </c>
      <c r="B11" s="17" t="s">
        <v>109</v>
      </c>
      <c r="C11" s="7">
        <v>19984.0</v>
      </c>
      <c r="D11" s="7">
        <f t="shared" si="2"/>
        <v>11990.4</v>
      </c>
      <c r="E11" s="7">
        <f t="shared" ref="E11:F11" si="13">if($D11&lt;15000,$D11*12/100,15000*12/100)</f>
        <v>1438.848</v>
      </c>
      <c r="F11" s="7">
        <f t="shared" si="13"/>
        <v>1438.848</v>
      </c>
      <c r="G11" s="7">
        <f t="shared" si="4"/>
        <v>2877.696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114</v>
      </c>
      <c r="C15" s="7">
        <v>28000.0</v>
      </c>
      <c r="D15" s="7">
        <f t="shared" si="2"/>
        <v>16800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17" t="s">
        <v>115</v>
      </c>
      <c r="C16" s="7">
        <v>9000.0</v>
      </c>
      <c r="D16" s="7">
        <f t="shared" si="2"/>
        <v>5400</v>
      </c>
      <c r="E16" s="7">
        <f t="shared" ref="E16:F16" si="18">if($D16&lt;15000,$D16*12/100,15000*12/100)</f>
        <v>648</v>
      </c>
      <c r="F16" s="7">
        <f t="shared" si="18"/>
        <v>648</v>
      </c>
      <c r="G16" s="7">
        <f t="shared" si="4"/>
        <v>1296</v>
      </c>
    </row>
    <row r="17">
      <c r="A17" s="8">
        <f t="shared" si="5"/>
        <v>16</v>
      </c>
      <c r="B17" s="17" t="s">
        <v>116</v>
      </c>
      <c r="C17" s="7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17" t="s">
        <v>117</v>
      </c>
      <c r="C18" s="7">
        <v>17000.0</v>
      </c>
      <c r="D18" s="7">
        <f t="shared" si="2"/>
        <v>10200</v>
      </c>
      <c r="E18" s="7">
        <f t="shared" ref="E18:F18" si="20">if($D18&lt;15000,$D18*12/100,15000*12/100)</f>
        <v>1224</v>
      </c>
      <c r="F18" s="7">
        <f t="shared" si="20"/>
        <v>1224</v>
      </c>
      <c r="G18" s="7">
        <f t="shared" si="4"/>
        <v>2448</v>
      </c>
    </row>
    <row r="19">
      <c r="A19" s="8">
        <f t="shared" si="5"/>
        <v>18</v>
      </c>
      <c r="B19" s="17" t="s">
        <v>118</v>
      </c>
      <c r="C19" s="7">
        <v>25000.0</v>
      </c>
      <c r="D19" s="7">
        <f t="shared" si="2"/>
        <v>15000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17" t="s">
        <v>119</v>
      </c>
      <c r="C20" s="7">
        <v>24597.0</v>
      </c>
      <c r="D20" s="7">
        <f t="shared" si="2"/>
        <v>14758.2</v>
      </c>
      <c r="E20" s="7">
        <f t="shared" ref="E20:F20" si="22">if($D20&lt;15000,$D20*12/100,15000*12/100)</f>
        <v>1770.984</v>
      </c>
      <c r="F20" s="7">
        <f t="shared" si="22"/>
        <v>1770.984</v>
      </c>
      <c r="G20" s="7">
        <f t="shared" si="4"/>
        <v>3541.968</v>
      </c>
    </row>
    <row r="21">
      <c r="A21" s="8">
        <f t="shared" si="5"/>
        <v>20</v>
      </c>
      <c r="B21" s="17" t="s">
        <v>120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121</v>
      </c>
      <c r="C22" s="7">
        <v>16000.0</v>
      </c>
      <c r="D22" s="7">
        <f t="shared" si="2"/>
        <v>9600</v>
      </c>
      <c r="E22" s="7">
        <f t="shared" ref="E22:F22" si="24">if($D22&lt;15000,$D22*12/100,15000*12/100)</f>
        <v>1152</v>
      </c>
      <c r="F22" s="7">
        <f t="shared" si="24"/>
        <v>1152</v>
      </c>
      <c r="G22" s="7">
        <f t="shared" si="4"/>
        <v>2304</v>
      </c>
    </row>
    <row r="23">
      <c r="A23" s="8">
        <f t="shared" si="5"/>
        <v>22</v>
      </c>
      <c r="B23" s="17" t="s">
        <v>122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123</v>
      </c>
      <c r="C24" s="7">
        <v>7742.0</v>
      </c>
      <c r="D24" s="7">
        <f t="shared" si="2"/>
        <v>4645.2</v>
      </c>
      <c r="E24" s="7">
        <f t="shared" ref="E24:F24" si="26">if($D24&lt;15000,$D24*12/100,15000*12/100)</f>
        <v>557.424</v>
      </c>
      <c r="F24" s="7">
        <f t="shared" si="26"/>
        <v>557.424</v>
      </c>
      <c r="G24" s="7">
        <f t="shared" si="4"/>
        <v>1114.848</v>
      </c>
    </row>
    <row r="25">
      <c r="A25" s="8">
        <f t="shared" si="5"/>
        <v>24</v>
      </c>
      <c r="B25" s="17" t="s">
        <v>124</v>
      </c>
      <c r="C25" s="7">
        <v>17097.0</v>
      </c>
      <c r="D25" s="7">
        <f t="shared" si="2"/>
        <v>10258.2</v>
      </c>
      <c r="E25" s="7">
        <f t="shared" ref="E25:F25" si="27">if($D25&lt;15000,$D25*12/100,15000*12/100)</f>
        <v>1230.984</v>
      </c>
      <c r="F25" s="7">
        <f t="shared" si="27"/>
        <v>1230.984</v>
      </c>
      <c r="G25" s="7">
        <f t="shared" si="4"/>
        <v>2461.968</v>
      </c>
    </row>
    <row r="26">
      <c r="A26" s="8">
        <f t="shared" si="5"/>
        <v>25</v>
      </c>
      <c r="B26" s="17" t="s">
        <v>126</v>
      </c>
      <c r="C26" s="7">
        <v>24194.0</v>
      </c>
      <c r="D26" s="7">
        <f t="shared" si="2"/>
        <v>14516.4</v>
      </c>
      <c r="E26" s="7">
        <f t="shared" ref="E26:F26" si="28">if($D26&lt;15000,$D26*12/100,15000*12/100)</f>
        <v>1741.968</v>
      </c>
      <c r="F26" s="7">
        <f t="shared" si="28"/>
        <v>1741.968</v>
      </c>
      <c r="G26" s="7">
        <f t="shared" si="4"/>
        <v>3483.936</v>
      </c>
    </row>
    <row r="27">
      <c r="A27" s="8">
        <f t="shared" si="5"/>
        <v>26</v>
      </c>
      <c r="B27" s="17" t="s">
        <v>127</v>
      </c>
      <c r="C27" s="7">
        <v>20323.0</v>
      </c>
      <c r="D27" s="7">
        <f t="shared" si="2"/>
        <v>12193.8</v>
      </c>
      <c r="E27" s="7">
        <f t="shared" ref="E27:F27" si="29">if($D27&lt;15000,$D27*12/100,15000*12/100)</f>
        <v>1463.256</v>
      </c>
      <c r="F27" s="7">
        <f t="shared" si="29"/>
        <v>1463.256</v>
      </c>
      <c r="G27" s="7">
        <f t="shared" si="4"/>
        <v>2926.512</v>
      </c>
    </row>
    <row r="28">
      <c r="A28" s="8">
        <f t="shared" si="5"/>
        <v>27</v>
      </c>
      <c r="B28" s="17" t="s">
        <v>128</v>
      </c>
      <c r="C28" s="7">
        <v>6000.0</v>
      </c>
      <c r="D28" s="7">
        <f t="shared" si="2"/>
        <v>3600</v>
      </c>
      <c r="E28" s="7">
        <f t="shared" ref="E28:F28" si="30">if($D28&lt;15000,$D28*12/100,15000*12/100)</f>
        <v>432</v>
      </c>
      <c r="F28" s="7">
        <f t="shared" si="30"/>
        <v>432</v>
      </c>
      <c r="G28" s="7">
        <f t="shared" si="4"/>
        <v>864</v>
      </c>
    </row>
    <row r="29">
      <c r="A29" s="8">
        <f t="shared" si="5"/>
        <v>28</v>
      </c>
      <c r="B29" s="17" t="s">
        <v>129</v>
      </c>
      <c r="C29" s="7">
        <v>15903.0</v>
      </c>
      <c r="D29" s="7">
        <f t="shared" si="2"/>
        <v>9541.8</v>
      </c>
      <c r="E29" s="7">
        <f t="shared" ref="E29:F29" si="31">if($D29&lt;15000,$D29*12/100,15000*12/100)</f>
        <v>1145.016</v>
      </c>
      <c r="F29" s="7">
        <f t="shared" si="31"/>
        <v>1145.016</v>
      </c>
      <c r="G29" s="7">
        <f t="shared" si="4"/>
        <v>2290.032</v>
      </c>
    </row>
    <row r="30">
      <c r="A30" s="8">
        <f t="shared" si="5"/>
        <v>29</v>
      </c>
      <c r="B30" s="17" t="s">
        <v>130</v>
      </c>
      <c r="C30" s="7">
        <v>16000.0</v>
      </c>
      <c r="D30" s="7">
        <f t="shared" si="2"/>
        <v>9600</v>
      </c>
      <c r="E30" s="7">
        <f t="shared" ref="E30:F30" si="32">if($D30&lt;15000,$D30*12/100,15000*12/100)</f>
        <v>1152</v>
      </c>
      <c r="F30" s="7">
        <f t="shared" si="32"/>
        <v>1152</v>
      </c>
      <c r="G30" s="7">
        <f t="shared" si="4"/>
        <v>2304</v>
      </c>
    </row>
    <row r="31">
      <c r="A31" s="8">
        <f t="shared" si="5"/>
        <v>30</v>
      </c>
      <c r="B31" s="17" t="s">
        <v>131</v>
      </c>
      <c r="C31" s="7">
        <v>13419.0</v>
      </c>
      <c r="D31" s="7">
        <f t="shared" si="2"/>
        <v>8051.4</v>
      </c>
      <c r="E31" s="7">
        <f t="shared" ref="E31:F31" si="33">if($D31&lt;15000,$D31*12/100,15000*12/100)</f>
        <v>966.168</v>
      </c>
      <c r="F31" s="7">
        <f t="shared" si="33"/>
        <v>966.168</v>
      </c>
      <c r="G31" s="7">
        <f t="shared" si="4"/>
        <v>1932.336</v>
      </c>
    </row>
    <row r="32">
      <c r="A32" s="8">
        <f t="shared" si="5"/>
        <v>31</v>
      </c>
      <c r="B32" s="17" t="s">
        <v>132</v>
      </c>
      <c r="C32" s="7">
        <v>22000.0</v>
      </c>
      <c r="D32" s="7">
        <f t="shared" si="2"/>
        <v>13200</v>
      </c>
      <c r="E32" s="7">
        <f t="shared" ref="E32:F32" si="34">if($D32&lt;15000,$D32*12/100,15000*12/100)</f>
        <v>1584</v>
      </c>
      <c r="F32" s="7">
        <f t="shared" si="34"/>
        <v>1584</v>
      </c>
      <c r="G32" s="7">
        <f t="shared" si="4"/>
        <v>3168</v>
      </c>
    </row>
    <row r="33">
      <c r="A33" s="8">
        <f t="shared" si="5"/>
        <v>32</v>
      </c>
      <c r="B33" s="17" t="s">
        <v>134</v>
      </c>
      <c r="C33" s="7">
        <v>12000.0</v>
      </c>
      <c r="D33" s="7">
        <f t="shared" si="2"/>
        <v>7200</v>
      </c>
      <c r="E33" s="7">
        <f t="shared" ref="E33:F33" si="35">if($D33&lt;15000,$D33*12/100,15000*12/100)</f>
        <v>864</v>
      </c>
      <c r="F33" s="7">
        <f t="shared" si="35"/>
        <v>864</v>
      </c>
      <c r="G33" s="7">
        <f t="shared" si="4"/>
        <v>1728</v>
      </c>
    </row>
    <row r="34">
      <c r="A34" s="8">
        <f t="shared" si="5"/>
        <v>33</v>
      </c>
      <c r="B34" s="18" t="s">
        <v>135</v>
      </c>
      <c r="C34" s="7">
        <v>25000.0</v>
      </c>
      <c r="D34" s="7">
        <f t="shared" si="2"/>
        <v>15000</v>
      </c>
      <c r="E34" s="7">
        <f t="shared" ref="E34:F34" si="36">if($D34&lt;15000,$D34*12/100,15000*12/100)</f>
        <v>1800</v>
      </c>
      <c r="F34" s="7">
        <f t="shared" si="36"/>
        <v>1800</v>
      </c>
      <c r="G34" s="7">
        <f t="shared" si="4"/>
        <v>3600</v>
      </c>
    </row>
    <row r="35">
      <c r="A35" s="8">
        <f t="shared" si="5"/>
        <v>34</v>
      </c>
      <c r="B35" s="18" t="s">
        <v>136</v>
      </c>
      <c r="C35" s="7">
        <v>35000.0</v>
      </c>
      <c r="D35" s="7">
        <f t="shared" si="2"/>
        <v>21000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137</v>
      </c>
      <c r="C36" s="7">
        <v>32000.0</v>
      </c>
      <c r="D36" s="7">
        <f t="shared" si="2"/>
        <v>19200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138</v>
      </c>
      <c r="C37" s="19">
        <v>25000.0</v>
      </c>
      <c r="D37" s="7">
        <f t="shared" si="2"/>
        <v>15000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139</v>
      </c>
      <c r="C38" s="19">
        <v>20000.0</v>
      </c>
      <c r="D38" s="7">
        <f t="shared" si="2"/>
        <v>12000</v>
      </c>
      <c r="E38" s="7">
        <f t="shared" ref="E38:F38" si="40">if($D38&lt;15000,$D38*12/100,15000*12/100)</f>
        <v>1440</v>
      </c>
      <c r="F38" s="7">
        <f t="shared" si="40"/>
        <v>1440</v>
      </c>
      <c r="G38" s="7">
        <f t="shared" si="4"/>
        <v>2880</v>
      </c>
    </row>
    <row r="39">
      <c r="A39" s="8">
        <f t="shared" si="5"/>
        <v>38</v>
      </c>
      <c r="B39" s="16" t="s">
        <v>140</v>
      </c>
      <c r="C39" s="19">
        <v>20000.0</v>
      </c>
      <c r="D39" s="7">
        <f t="shared" si="2"/>
        <v>12000</v>
      </c>
      <c r="E39" s="7">
        <f t="shared" ref="E39:F39" si="41">if($D39&lt;15000,$D39*12/100,15000*12/100)</f>
        <v>1440</v>
      </c>
      <c r="F39" s="7">
        <f t="shared" si="41"/>
        <v>1440</v>
      </c>
      <c r="G39" s="7">
        <f t="shared" si="4"/>
        <v>2880</v>
      </c>
    </row>
    <row r="40">
      <c r="A40" s="8">
        <f t="shared" si="5"/>
        <v>39</v>
      </c>
      <c r="B40" s="16" t="s">
        <v>152</v>
      </c>
      <c r="C40" s="19">
        <v>8000.0</v>
      </c>
      <c r="D40" s="7">
        <f t="shared" si="2"/>
        <v>4800</v>
      </c>
      <c r="E40" s="7">
        <f t="shared" ref="E40:F40" si="42">if($D40&lt;15000,$D40*12/100,15000*12/100)</f>
        <v>576</v>
      </c>
      <c r="F40" s="7">
        <f t="shared" si="42"/>
        <v>576</v>
      </c>
      <c r="G40" s="7">
        <f t="shared" si="4"/>
        <v>1152</v>
      </c>
    </row>
    <row r="41">
      <c r="A41" s="8">
        <f t="shared" si="5"/>
        <v>40</v>
      </c>
      <c r="B41" s="16" t="s">
        <v>142</v>
      </c>
      <c r="C41" s="19">
        <v>22000.0</v>
      </c>
      <c r="D41" s="7">
        <f t="shared" si="2"/>
        <v>13200</v>
      </c>
      <c r="E41" s="7">
        <f t="shared" ref="E41:F41" si="43">if($D41&lt;15000,$D41*12/100,15000*12/100)</f>
        <v>1584</v>
      </c>
      <c r="F41" s="7">
        <f t="shared" si="43"/>
        <v>1584</v>
      </c>
      <c r="G41" s="7">
        <f t="shared" si="4"/>
        <v>3168</v>
      </c>
    </row>
    <row r="42">
      <c r="A42" s="8">
        <f t="shared" si="5"/>
        <v>41</v>
      </c>
      <c r="B42" s="16" t="s">
        <v>143</v>
      </c>
      <c r="C42" s="19">
        <v>17000.0</v>
      </c>
      <c r="D42" s="7">
        <f t="shared" si="2"/>
        <v>10200</v>
      </c>
      <c r="E42" s="7">
        <f t="shared" ref="E42:F42" si="44">if($D42&lt;15000,$D42*12/100,15000*12/100)</f>
        <v>1224</v>
      </c>
      <c r="F42" s="7">
        <f t="shared" si="44"/>
        <v>1224</v>
      </c>
      <c r="G42" s="7">
        <f t="shared" si="4"/>
        <v>2448</v>
      </c>
    </row>
    <row r="43">
      <c r="A43" s="8">
        <f t="shared" si="5"/>
        <v>42</v>
      </c>
      <c r="B43" s="16" t="s">
        <v>145</v>
      </c>
      <c r="C43" s="19">
        <v>35000.0</v>
      </c>
      <c r="D43" s="7">
        <f t="shared" si="2"/>
        <v>21000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</row>
    <row r="44">
      <c r="A44" s="8">
        <f t="shared" si="5"/>
        <v>43</v>
      </c>
      <c r="B44" s="16" t="s">
        <v>148</v>
      </c>
      <c r="C44" s="19">
        <v>23000.0</v>
      </c>
      <c r="D44" s="7">
        <f t="shared" si="2"/>
        <v>13800</v>
      </c>
      <c r="E44" s="7">
        <f t="shared" ref="E44:F44" si="46">if($D44&lt;15000,$D44*12/100,15000*12/100)</f>
        <v>1656</v>
      </c>
      <c r="F44" s="7">
        <f t="shared" si="46"/>
        <v>1656</v>
      </c>
      <c r="G44" s="7">
        <f t="shared" si="4"/>
        <v>3312</v>
      </c>
    </row>
    <row r="45">
      <c r="A45" s="8">
        <f t="shared" si="5"/>
        <v>44</v>
      </c>
      <c r="B45" s="16" t="s">
        <v>149</v>
      </c>
      <c r="C45" s="19">
        <v>23000.0</v>
      </c>
      <c r="D45" s="7">
        <f t="shared" si="2"/>
        <v>13800</v>
      </c>
      <c r="E45" s="7">
        <f t="shared" ref="E45:F45" si="47">if($D45&lt;15000,$D45*12/100,15000*12/100)</f>
        <v>1656</v>
      </c>
      <c r="F45" s="7">
        <f t="shared" si="47"/>
        <v>1656</v>
      </c>
      <c r="G45" s="7">
        <f t="shared" si="4"/>
        <v>3312</v>
      </c>
    </row>
    <row r="46">
      <c r="A46" s="8">
        <f t="shared" si="5"/>
        <v>45</v>
      </c>
      <c r="B46" s="16" t="s">
        <v>150</v>
      </c>
      <c r="C46" s="19">
        <v>7548.0</v>
      </c>
      <c r="D46" s="7">
        <f t="shared" si="2"/>
        <v>4528.8</v>
      </c>
      <c r="E46" s="7">
        <f t="shared" ref="E46:F46" si="48">if($D46&lt;15000,$D46*12/100,15000*12/100)</f>
        <v>543.456</v>
      </c>
      <c r="F46" s="7">
        <f t="shared" si="48"/>
        <v>543.456</v>
      </c>
      <c r="G46" s="7">
        <f t="shared" si="4"/>
        <v>1086.912</v>
      </c>
    </row>
    <row r="47">
      <c r="A47" s="8">
        <f t="shared" si="5"/>
        <v>46</v>
      </c>
      <c r="B47" s="16" t="s">
        <v>151</v>
      </c>
      <c r="C47" s="19">
        <v>20323.0</v>
      </c>
      <c r="D47" s="7">
        <f t="shared" si="2"/>
        <v>12193.8</v>
      </c>
      <c r="E47" s="7">
        <f t="shared" ref="E47:F47" si="49">if($D47&lt;15000,$D47*12/100,15000*12/100)</f>
        <v>1463.256</v>
      </c>
      <c r="F47" s="7">
        <f t="shared" si="49"/>
        <v>1463.256</v>
      </c>
      <c r="G47" s="7">
        <f t="shared" si="4"/>
        <v>2926.512</v>
      </c>
    </row>
    <row r="48">
      <c r="A48" s="8">
        <f t="shared" si="5"/>
        <v>47</v>
      </c>
      <c r="B48" s="16" t="s">
        <v>153</v>
      </c>
      <c r="C48" s="19">
        <v>24597.0</v>
      </c>
      <c r="D48" s="7">
        <f t="shared" si="2"/>
        <v>14758.2</v>
      </c>
      <c r="E48" s="7">
        <f t="shared" ref="E48:F48" si="50">if($D48&lt;15000,$D48*12/100,15000*12/100)</f>
        <v>1770.984</v>
      </c>
      <c r="F48" s="7">
        <f t="shared" si="50"/>
        <v>1770.984</v>
      </c>
      <c r="G48" s="7">
        <f t="shared" si="4"/>
        <v>3541.968</v>
      </c>
    </row>
    <row r="49">
      <c r="A49" s="8">
        <f t="shared" si="5"/>
        <v>48</v>
      </c>
      <c r="B49" s="16" t="s">
        <v>162</v>
      </c>
      <c r="C49" s="19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16" t="s">
        <v>163</v>
      </c>
      <c r="C50" s="19">
        <v>8000.0</v>
      </c>
      <c r="D50" s="7">
        <f t="shared" si="2"/>
        <v>4800</v>
      </c>
      <c r="E50" s="7">
        <f t="shared" ref="E50:F50" si="52">if($D50&lt;15000,$D50*12/100,15000*12/100)</f>
        <v>576</v>
      </c>
      <c r="F50" s="7">
        <f t="shared" si="52"/>
        <v>576</v>
      </c>
      <c r="G50" s="7">
        <f t="shared" si="4"/>
        <v>1152</v>
      </c>
    </row>
    <row r="51">
      <c r="A51" s="8">
        <f t="shared" si="5"/>
        <v>50</v>
      </c>
      <c r="B51" s="16" t="s">
        <v>164</v>
      </c>
      <c r="C51" s="19">
        <v>19355.0</v>
      </c>
      <c r="D51" s="7">
        <f t="shared" si="2"/>
        <v>11613</v>
      </c>
      <c r="E51" s="7">
        <f t="shared" ref="E51:F51" si="53">if($D51&lt;15000,$D51*12/100,15000*12/100)</f>
        <v>1393.56</v>
      </c>
      <c r="F51" s="7">
        <f t="shared" si="53"/>
        <v>1393.56</v>
      </c>
      <c r="G51" s="7">
        <f t="shared" si="4"/>
        <v>2787.12</v>
      </c>
    </row>
    <row r="52">
      <c r="A52" s="8">
        <f t="shared" si="5"/>
        <v>51</v>
      </c>
      <c r="B52" s="16" t="s">
        <v>165</v>
      </c>
      <c r="C52" s="19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16" t="s">
        <v>166</v>
      </c>
      <c r="C53" s="19">
        <v>16726.0</v>
      </c>
      <c r="D53" s="7">
        <f t="shared" si="2"/>
        <v>10035.6</v>
      </c>
      <c r="E53" s="7">
        <f t="shared" ref="E53:F53" si="55">if($D53&lt;15000,$D53*12/100,15000*12/100)</f>
        <v>1204.272</v>
      </c>
      <c r="F53" s="7">
        <f t="shared" si="55"/>
        <v>1204.272</v>
      </c>
      <c r="G53" s="7">
        <f t="shared" si="4"/>
        <v>2408.544</v>
      </c>
    </row>
    <row r="54">
      <c r="A54" s="8">
        <f t="shared" si="5"/>
        <v>53</v>
      </c>
      <c r="B54" s="16" t="s">
        <v>154</v>
      </c>
      <c r="C54" s="19">
        <v>17000.0</v>
      </c>
      <c r="D54" s="7">
        <f t="shared" si="2"/>
        <v>10200</v>
      </c>
      <c r="E54" s="7">
        <f t="shared" ref="E54:F54" si="56">if($D54&lt;15000,$D54*12/100,15000*12/100)</f>
        <v>1224</v>
      </c>
      <c r="F54" s="7">
        <f t="shared" si="56"/>
        <v>1224</v>
      </c>
      <c r="G54" s="7">
        <f t="shared" si="4"/>
        <v>2448</v>
      </c>
    </row>
    <row r="55">
      <c r="A55" s="8">
        <f t="shared" si="5"/>
        <v>54</v>
      </c>
      <c r="B55" s="16" t="s">
        <v>155</v>
      </c>
      <c r="C55" s="19">
        <v>23000.0</v>
      </c>
      <c r="D55" s="7">
        <f t="shared" si="2"/>
        <v>13800</v>
      </c>
      <c r="E55" s="7">
        <f t="shared" ref="E55:F55" si="57">if($D55&lt;15000,$D55*12/100,15000*12/100)</f>
        <v>1656</v>
      </c>
      <c r="F55" s="7">
        <f t="shared" si="57"/>
        <v>1656</v>
      </c>
      <c r="G55" s="7">
        <f t="shared" si="4"/>
        <v>3312</v>
      </c>
    </row>
    <row r="56">
      <c r="A56" s="8">
        <f t="shared" si="5"/>
        <v>55</v>
      </c>
      <c r="B56" s="16" t="s">
        <v>156</v>
      </c>
      <c r="C56" s="19">
        <v>18710.0</v>
      </c>
      <c r="D56" s="7">
        <f t="shared" si="2"/>
        <v>11226</v>
      </c>
      <c r="E56" s="7">
        <f t="shared" ref="E56:F56" si="58">if($D56&lt;15000,$D56*12/100,15000*12/100)</f>
        <v>1347.12</v>
      </c>
      <c r="F56" s="7">
        <f t="shared" si="58"/>
        <v>1347.12</v>
      </c>
      <c r="G56" s="7">
        <f t="shared" si="4"/>
        <v>2694.24</v>
      </c>
    </row>
    <row r="57">
      <c r="A57" s="8">
        <f t="shared" si="5"/>
        <v>56</v>
      </c>
      <c r="B57" s="16" t="s">
        <v>157</v>
      </c>
      <c r="C57" s="19">
        <v>20000.0</v>
      </c>
      <c r="D57" s="7">
        <f t="shared" si="2"/>
        <v>12000</v>
      </c>
      <c r="E57" s="7">
        <f t="shared" ref="E57:F57" si="59">if($D57&lt;15000,$D57*12/100,15000*12/100)</f>
        <v>1440</v>
      </c>
      <c r="F57" s="7">
        <f t="shared" si="59"/>
        <v>1440</v>
      </c>
      <c r="G57" s="7">
        <f t="shared" si="4"/>
        <v>2880</v>
      </c>
    </row>
    <row r="58">
      <c r="A58" s="8">
        <f t="shared" si="5"/>
        <v>57</v>
      </c>
      <c r="B58" s="16" t="s">
        <v>160</v>
      </c>
      <c r="C58" s="19">
        <v>19000.0</v>
      </c>
      <c r="D58" s="7">
        <f t="shared" si="2"/>
        <v>11400</v>
      </c>
      <c r="E58" s="7">
        <f t="shared" ref="E58:F58" si="60">if($D58&lt;15000,$D58*12/100,15000*12/100)</f>
        <v>1368</v>
      </c>
      <c r="F58" s="7">
        <f t="shared" si="60"/>
        <v>1368</v>
      </c>
      <c r="G58" s="7">
        <f t="shared" si="4"/>
        <v>2736</v>
      </c>
    </row>
    <row r="59">
      <c r="A59" s="8">
        <f t="shared" si="5"/>
        <v>58</v>
      </c>
      <c r="B59" s="16" t="s">
        <v>161</v>
      </c>
      <c r="C59" s="7">
        <v>14000.0</v>
      </c>
      <c r="D59" s="7">
        <f t="shared" si="2"/>
        <v>8400</v>
      </c>
      <c r="E59" s="7">
        <f t="shared" ref="E59:F59" si="61">if($D59&lt;15000,$D59*12/100,15000*12/100)</f>
        <v>1008</v>
      </c>
      <c r="F59" s="7">
        <f t="shared" si="61"/>
        <v>1008</v>
      </c>
      <c r="G59" s="7">
        <f t="shared" si="4"/>
        <v>2016</v>
      </c>
    </row>
    <row r="60">
      <c r="A60" s="8">
        <f t="shared" si="5"/>
        <v>59</v>
      </c>
      <c r="B60" s="16" t="s">
        <v>167</v>
      </c>
      <c r="C60" s="7">
        <v>23000.0</v>
      </c>
      <c r="D60" s="7">
        <f t="shared" si="2"/>
        <v>13800</v>
      </c>
      <c r="E60" s="7">
        <f t="shared" ref="E60:F60" si="62">if($D60&lt;15000,$D60*12/100,15000*12/100)</f>
        <v>1656</v>
      </c>
      <c r="F60" s="7">
        <f t="shared" si="62"/>
        <v>1656</v>
      </c>
      <c r="G60" s="7">
        <f t="shared" si="4"/>
        <v>3312</v>
      </c>
    </row>
    <row r="61">
      <c r="A61" s="8">
        <f t="shared" si="5"/>
        <v>60</v>
      </c>
      <c r="B61" s="16" t="s">
        <v>168</v>
      </c>
      <c r="C61" s="7">
        <v>4839.0</v>
      </c>
      <c r="D61" s="7">
        <f t="shared" si="2"/>
        <v>2903.4</v>
      </c>
      <c r="E61" s="7">
        <f t="shared" ref="E61:F61" si="63">if($D61&lt;15000,$D61*12/100,15000*12/100)</f>
        <v>348.408</v>
      </c>
      <c r="F61" s="7">
        <f t="shared" si="63"/>
        <v>348.408</v>
      </c>
      <c r="G61" s="7">
        <f t="shared" si="4"/>
        <v>696.816</v>
      </c>
    </row>
    <row r="62">
      <c r="A62" s="9" t="s">
        <v>34</v>
      </c>
      <c r="B62" s="10"/>
      <c r="C62" s="11">
        <f t="shared" ref="C62:G62" si="64">sum(C2:C61)</f>
        <v>1361809</v>
      </c>
      <c r="D62" s="11">
        <f t="shared" si="64"/>
        <v>817085.4</v>
      </c>
      <c r="E62" s="11">
        <f t="shared" si="64"/>
        <v>84874.248</v>
      </c>
      <c r="F62" s="11">
        <f t="shared" si="64"/>
        <v>84874.248</v>
      </c>
      <c r="G62" s="11">
        <f t="shared" si="64"/>
        <v>169748.496</v>
      </c>
    </row>
  </sheetData>
  <mergeCells count="1">
    <mergeCell ref="A62:B62"/>
  </mergeCells>
  <hyperlinks>
    <hyperlink r:id="rId1" ref="A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1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1" si="4">E2+F2</f>
        <v>3600</v>
      </c>
    </row>
    <row r="3">
      <c r="A3" s="8">
        <f t="shared" ref="A3:A61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22207.0</v>
      </c>
      <c r="D8" s="7">
        <f t="shared" si="2"/>
        <v>13324.2</v>
      </c>
      <c r="E8" s="7">
        <f t="shared" ref="E8:F8" si="10">if($D8&lt;15000,$D8*12/100,15000*12/100)</f>
        <v>1598.904</v>
      </c>
      <c r="F8" s="7">
        <f t="shared" si="10"/>
        <v>1598.904</v>
      </c>
      <c r="G8" s="7">
        <f t="shared" si="4"/>
        <v>3197.808</v>
      </c>
    </row>
    <row r="9">
      <c r="A9" s="8">
        <f t="shared" si="5"/>
        <v>8</v>
      </c>
      <c r="B9" s="17" t="s">
        <v>107</v>
      </c>
      <c r="C9" s="7">
        <v>19552.0</v>
      </c>
      <c r="D9" s="7">
        <f t="shared" si="2"/>
        <v>11731.2</v>
      </c>
      <c r="E9" s="7">
        <f t="shared" ref="E9:F9" si="11">if($D9&lt;15000,$D9*12/100,15000*12/100)</f>
        <v>1407.744</v>
      </c>
      <c r="F9" s="7">
        <f t="shared" si="11"/>
        <v>1407.744</v>
      </c>
      <c r="G9" s="7">
        <f t="shared" si="4"/>
        <v>2815.488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19310.0</v>
      </c>
      <c r="D12" s="7">
        <f t="shared" si="2"/>
        <v>11586</v>
      </c>
      <c r="E12" s="7">
        <f t="shared" ref="E12:F12" si="14">if($D12&lt;15000,$D12*12/100,15000*12/100)</f>
        <v>1390.32</v>
      </c>
      <c r="F12" s="7">
        <f t="shared" si="14"/>
        <v>1390.32</v>
      </c>
      <c r="G12" s="7">
        <f t="shared" si="4"/>
        <v>2780.64</v>
      </c>
    </row>
    <row r="13">
      <c r="A13" s="8">
        <f t="shared" si="5"/>
        <v>12</v>
      </c>
      <c r="B13" s="17" t="s">
        <v>111</v>
      </c>
      <c r="C13" s="7">
        <v>28966.0</v>
      </c>
      <c r="D13" s="7">
        <f t="shared" si="2"/>
        <v>17379.6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35379.0</v>
      </c>
      <c r="D14" s="7">
        <f t="shared" si="2"/>
        <v>21227.4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114</v>
      </c>
      <c r="C15" s="7">
        <v>28000.0</v>
      </c>
      <c r="D15" s="7">
        <f t="shared" si="2"/>
        <v>16800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17" t="s">
        <v>115</v>
      </c>
      <c r="C16" s="7">
        <v>8845.0</v>
      </c>
      <c r="D16" s="7">
        <f t="shared" si="2"/>
        <v>5307</v>
      </c>
      <c r="E16" s="7">
        <f t="shared" ref="E16:F16" si="18">if($D16&lt;15000,$D16*12/100,15000*12/100)</f>
        <v>636.84</v>
      </c>
      <c r="F16" s="7">
        <f t="shared" si="18"/>
        <v>636.84</v>
      </c>
      <c r="G16" s="7">
        <f t="shared" si="4"/>
        <v>1273.68</v>
      </c>
    </row>
    <row r="17">
      <c r="A17" s="8">
        <f t="shared" si="5"/>
        <v>16</v>
      </c>
      <c r="B17" s="17" t="s">
        <v>116</v>
      </c>
      <c r="C17" s="7">
        <v>26897.0</v>
      </c>
      <c r="D17" s="7">
        <f t="shared" si="2"/>
        <v>16138.2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17" t="s">
        <v>117</v>
      </c>
      <c r="C18" s="7">
        <v>16707.0</v>
      </c>
      <c r="D18" s="7">
        <f t="shared" si="2"/>
        <v>10024.2</v>
      </c>
      <c r="E18" s="7">
        <f t="shared" ref="E18:F18" si="20">if($D18&lt;15000,$D18*12/100,15000*12/100)</f>
        <v>1202.904</v>
      </c>
      <c r="F18" s="7">
        <f t="shared" si="20"/>
        <v>1202.904</v>
      </c>
      <c r="G18" s="7">
        <f t="shared" si="4"/>
        <v>2405.808</v>
      </c>
    </row>
    <row r="19">
      <c r="A19" s="8">
        <f t="shared" si="5"/>
        <v>18</v>
      </c>
      <c r="B19" s="17" t="s">
        <v>118</v>
      </c>
      <c r="C19" s="7">
        <v>24569.0</v>
      </c>
      <c r="D19" s="7">
        <f t="shared" si="2"/>
        <v>14741.4</v>
      </c>
      <c r="E19" s="7">
        <f t="shared" ref="E19:F19" si="21">if($D19&lt;15000,$D19*12/100,15000*12/100)</f>
        <v>1768.968</v>
      </c>
      <c r="F19" s="7">
        <f t="shared" si="21"/>
        <v>1768.968</v>
      </c>
      <c r="G19" s="7">
        <f t="shared" si="4"/>
        <v>3537.936</v>
      </c>
    </row>
    <row r="20">
      <c r="A20" s="8">
        <f t="shared" si="5"/>
        <v>19</v>
      </c>
      <c r="B20" s="17" t="s">
        <v>119</v>
      </c>
      <c r="C20" s="7">
        <v>24569.0</v>
      </c>
      <c r="D20" s="7">
        <f t="shared" si="2"/>
        <v>14741.4</v>
      </c>
      <c r="E20" s="7">
        <f t="shared" ref="E20:F20" si="22">if($D20&lt;15000,$D20*12/100,15000*12/100)</f>
        <v>1768.968</v>
      </c>
      <c r="F20" s="7">
        <f t="shared" si="22"/>
        <v>1768.968</v>
      </c>
      <c r="G20" s="7">
        <f t="shared" si="4"/>
        <v>3537.936</v>
      </c>
    </row>
    <row r="21">
      <c r="A21" s="8">
        <f t="shared" si="5"/>
        <v>20</v>
      </c>
      <c r="B21" s="17" t="s">
        <v>120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121</v>
      </c>
      <c r="C22" s="7">
        <v>16000.0</v>
      </c>
      <c r="D22" s="7">
        <f t="shared" si="2"/>
        <v>9600</v>
      </c>
      <c r="E22" s="7">
        <f t="shared" ref="E22:F22" si="24">if($D22&lt;15000,$D22*12/100,15000*12/100)</f>
        <v>1152</v>
      </c>
      <c r="F22" s="7">
        <f t="shared" si="24"/>
        <v>1152</v>
      </c>
      <c r="G22" s="7">
        <f t="shared" si="4"/>
        <v>2304</v>
      </c>
    </row>
    <row r="23">
      <c r="A23" s="8">
        <f t="shared" si="5"/>
        <v>22</v>
      </c>
      <c r="B23" s="17" t="s">
        <v>122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123</v>
      </c>
      <c r="C24" s="7">
        <v>7724.0</v>
      </c>
      <c r="D24" s="7">
        <f t="shared" si="2"/>
        <v>4634.4</v>
      </c>
      <c r="E24" s="7">
        <f t="shared" ref="E24:F24" si="26">if($D24&lt;15000,$D24*12/100,15000*12/100)</f>
        <v>556.128</v>
      </c>
      <c r="F24" s="7">
        <f t="shared" si="26"/>
        <v>556.128</v>
      </c>
      <c r="G24" s="7">
        <f t="shared" si="4"/>
        <v>1112.256</v>
      </c>
    </row>
    <row r="25">
      <c r="A25" s="8">
        <f t="shared" si="5"/>
        <v>24</v>
      </c>
      <c r="B25" s="17" t="s">
        <v>124</v>
      </c>
      <c r="C25" s="7">
        <v>18621.0</v>
      </c>
      <c r="D25" s="7">
        <f t="shared" si="2"/>
        <v>11172.6</v>
      </c>
      <c r="E25" s="7">
        <f t="shared" ref="E25:F25" si="27">if($D25&lt;15000,$D25*12/100,15000*12/100)</f>
        <v>1340.712</v>
      </c>
      <c r="F25" s="7">
        <f t="shared" si="27"/>
        <v>1340.712</v>
      </c>
      <c r="G25" s="7">
        <f t="shared" si="4"/>
        <v>2681.424</v>
      </c>
    </row>
    <row r="26">
      <c r="A26" s="8">
        <f t="shared" si="5"/>
        <v>25</v>
      </c>
      <c r="B26" s="17" t="s">
        <v>126</v>
      </c>
      <c r="C26" s="7">
        <v>14224.0</v>
      </c>
      <c r="D26" s="7">
        <f t="shared" si="2"/>
        <v>8534.4</v>
      </c>
      <c r="E26" s="7">
        <f t="shared" ref="E26:F26" si="28">if($D26&lt;15000,$D26*12/100,15000*12/100)</f>
        <v>1024.128</v>
      </c>
      <c r="F26" s="7">
        <f t="shared" si="28"/>
        <v>1024.128</v>
      </c>
      <c r="G26" s="7">
        <f t="shared" si="4"/>
        <v>2048.256</v>
      </c>
    </row>
    <row r="27">
      <c r="A27" s="8">
        <f t="shared" si="5"/>
        <v>26</v>
      </c>
      <c r="B27" s="17" t="s">
        <v>127</v>
      </c>
      <c r="C27" s="7">
        <v>17741.0</v>
      </c>
      <c r="D27" s="7">
        <f t="shared" si="2"/>
        <v>10644.6</v>
      </c>
      <c r="E27" s="7">
        <f t="shared" ref="E27:F27" si="29">if($D27&lt;15000,$D27*12/100,15000*12/100)</f>
        <v>1277.352</v>
      </c>
      <c r="F27" s="7">
        <f t="shared" si="29"/>
        <v>1277.352</v>
      </c>
      <c r="G27" s="7">
        <f t="shared" si="4"/>
        <v>2554.704</v>
      </c>
    </row>
    <row r="28">
      <c r="A28" s="8">
        <f t="shared" si="5"/>
        <v>27</v>
      </c>
      <c r="B28" s="17" t="s">
        <v>128</v>
      </c>
      <c r="C28" s="7">
        <v>5793.0</v>
      </c>
      <c r="D28" s="7">
        <f t="shared" si="2"/>
        <v>3475.8</v>
      </c>
      <c r="E28" s="7">
        <f t="shared" ref="E28:F28" si="30">if($D28&lt;15000,$D28*12/100,15000*12/100)</f>
        <v>417.096</v>
      </c>
      <c r="F28" s="7">
        <f t="shared" si="30"/>
        <v>417.096</v>
      </c>
      <c r="G28" s="7">
        <f t="shared" si="4"/>
        <v>834.192</v>
      </c>
    </row>
    <row r="29">
      <c r="A29" s="8">
        <f t="shared" si="5"/>
        <v>28</v>
      </c>
      <c r="B29" s="17" t="s">
        <v>129</v>
      </c>
      <c r="C29" s="7">
        <v>16414.0</v>
      </c>
      <c r="D29" s="7">
        <f t="shared" si="2"/>
        <v>9848.4</v>
      </c>
      <c r="E29" s="7">
        <f t="shared" ref="E29:F29" si="31">if($D29&lt;15000,$D29*12/100,15000*12/100)</f>
        <v>1181.808</v>
      </c>
      <c r="F29" s="7">
        <f t="shared" si="31"/>
        <v>1181.808</v>
      </c>
      <c r="G29" s="7">
        <f t="shared" si="4"/>
        <v>2363.616</v>
      </c>
    </row>
    <row r="30">
      <c r="A30" s="8">
        <f t="shared" si="5"/>
        <v>29</v>
      </c>
      <c r="B30" s="17" t="s">
        <v>130</v>
      </c>
      <c r="C30" s="7">
        <v>16000.0</v>
      </c>
      <c r="D30" s="7">
        <f t="shared" si="2"/>
        <v>9600</v>
      </c>
      <c r="E30" s="7">
        <f t="shared" ref="E30:F30" si="32">if($D30&lt;15000,$D30*12/100,15000*12/100)</f>
        <v>1152</v>
      </c>
      <c r="F30" s="7">
        <f t="shared" si="32"/>
        <v>1152</v>
      </c>
      <c r="G30" s="7">
        <f t="shared" si="4"/>
        <v>2304</v>
      </c>
    </row>
    <row r="31">
      <c r="A31" s="8">
        <f t="shared" si="5"/>
        <v>30</v>
      </c>
      <c r="B31" s="17" t="s">
        <v>131</v>
      </c>
      <c r="C31" s="7">
        <v>16000.0</v>
      </c>
      <c r="D31" s="7">
        <f t="shared" si="2"/>
        <v>9600</v>
      </c>
      <c r="E31" s="7">
        <f t="shared" ref="E31:F31" si="33">if($D31&lt;15000,$D31*12/100,15000*12/100)</f>
        <v>1152</v>
      </c>
      <c r="F31" s="7">
        <f t="shared" si="33"/>
        <v>1152</v>
      </c>
      <c r="G31" s="7">
        <f t="shared" si="4"/>
        <v>2304</v>
      </c>
    </row>
    <row r="32">
      <c r="A32" s="8">
        <f t="shared" si="5"/>
        <v>31</v>
      </c>
      <c r="B32" s="17" t="s">
        <v>132</v>
      </c>
      <c r="C32" s="7">
        <v>21621.0</v>
      </c>
      <c r="D32" s="7">
        <f t="shared" si="2"/>
        <v>12972.6</v>
      </c>
      <c r="E32" s="7">
        <f t="shared" ref="E32:F32" si="34">if($D32&lt;15000,$D32*12/100,15000*12/100)</f>
        <v>1556.712</v>
      </c>
      <c r="F32" s="7">
        <f t="shared" si="34"/>
        <v>1556.712</v>
      </c>
      <c r="G32" s="7">
        <f t="shared" si="4"/>
        <v>3113.424</v>
      </c>
    </row>
    <row r="33">
      <c r="A33" s="8">
        <f t="shared" si="5"/>
        <v>32</v>
      </c>
      <c r="B33" s="17" t="s">
        <v>134</v>
      </c>
      <c r="C33" s="7">
        <v>12000.0</v>
      </c>
      <c r="D33" s="7">
        <f t="shared" si="2"/>
        <v>7200</v>
      </c>
      <c r="E33" s="7">
        <f t="shared" ref="E33:F33" si="35">if($D33&lt;15000,$D33*12/100,15000*12/100)</f>
        <v>864</v>
      </c>
      <c r="F33" s="7">
        <f t="shared" si="35"/>
        <v>864</v>
      </c>
      <c r="G33" s="7">
        <f t="shared" si="4"/>
        <v>1728</v>
      </c>
    </row>
    <row r="34">
      <c r="A34" s="8">
        <f t="shared" si="5"/>
        <v>33</v>
      </c>
      <c r="B34" s="18" t="s">
        <v>135</v>
      </c>
      <c r="C34" s="7">
        <v>24138.0</v>
      </c>
      <c r="D34" s="7">
        <f t="shared" si="2"/>
        <v>14482.8</v>
      </c>
      <c r="E34" s="7">
        <f t="shared" ref="E34:F34" si="36">if($D34&lt;15000,$D34*12/100,15000*12/100)</f>
        <v>1737.936</v>
      </c>
      <c r="F34" s="7">
        <f t="shared" si="36"/>
        <v>1737.936</v>
      </c>
      <c r="G34" s="7">
        <f t="shared" si="4"/>
        <v>3475.872</v>
      </c>
    </row>
    <row r="35">
      <c r="A35" s="8">
        <f t="shared" si="5"/>
        <v>34</v>
      </c>
      <c r="B35" s="18" t="s">
        <v>136</v>
      </c>
      <c r="C35" s="7">
        <v>35000.0</v>
      </c>
      <c r="D35" s="7">
        <f t="shared" si="2"/>
        <v>21000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137</v>
      </c>
      <c r="C36" s="7">
        <v>32000.0</v>
      </c>
      <c r="D36" s="7">
        <f t="shared" si="2"/>
        <v>19200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138</v>
      </c>
      <c r="C37" s="19">
        <v>23707.0</v>
      </c>
      <c r="D37" s="7">
        <f t="shared" si="2"/>
        <v>14224.2</v>
      </c>
      <c r="E37" s="7">
        <f t="shared" ref="E37:F37" si="39">if($D37&lt;15000,$D37*12/100,15000*12/100)</f>
        <v>1706.904</v>
      </c>
      <c r="F37" s="7">
        <f t="shared" si="39"/>
        <v>1706.904</v>
      </c>
      <c r="G37" s="7">
        <f t="shared" si="4"/>
        <v>3413.808</v>
      </c>
    </row>
    <row r="38">
      <c r="A38" s="8">
        <f t="shared" si="5"/>
        <v>37</v>
      </c>
      <c r="B38" s="16" t="s">
        <v>139</v>
      </c>
      <c r="C38" s="19">
        <v>20000.0</v>
      </c>
      <c r="D38" s="7">
        <f t="shared" si="2"/>
        <v>12000</v>
      </c>
      <c r="E38" s="7">
        <f t="shared" ref="E38:F38" si="40">if($D38&lt;15000,$D38*12/100,15000*12/100)</f>
        <v>1440</v>
      </c>
      <c r="F38" s="7">
        <f t="shared" si="40"/>
        <v>1440</v>
      </c>
      <c r="G38" s="7">
        <f t="shared" si="4"/>
        <v>2880</v>
      </c>
    </row>
    <row r="39">
      <c r="A39" s="8">
        <f t="shared" si="5"/>
        <v>38</v>
      </c>
      <c r="B39" s="16" t="s">
        <v>140</v>
      </c>
      <c r="C39" s="19">
        <v>20000.0</v>
      </c>
      <c r="D39" s="7">
        <f t="shared" si="2"/>
        <v>12000</v>
      </c>
      <c r="E39" s="7">
        <f t="shared" ref="E39:F39" si="41">if($D39&lt;15000,$D39*12/100,15000*12/100)</f>
        <v>1440</v>
      </c>
      <c r="F39" s="7">
        <f t="shared" si="41"/>
        <v>1440</v>
      </c>
      <c r="G39" s="7">
        <f t="shared" si="4"/>
        <v>2880</v>
      </c>
    </row>
    <row r="40">
      <c r="A40" s="8">
        <f t="shared" si="5"/>
        <v>39</v>
      </c>
      <c r="B40" s="16" t="s">
        <v>152</v>
      </c>
      <c r="C40" s="19">
        <v>8000.0</v>
      </c>
      <c r="D40" s="7">
        <f t="shared" si="2"/>
        <v>4800</v>
      </c>
      <c r="E40" s="7">
        <f t="shared" ref="E40:F40" si="42">if($D40&lt;15000,$D40*12/100,15000*12/100)</f>
        <v>576</v>
      </c>
      <c r="F40" s="7">
        <f t="shared" si="42"/>
        <v>576</v>
      </c>
      <c r="G40" s="7">
        <f t="shared" si="4"/>
        <v>1152</v>
      </c>
    </row>
    <row r="41">
      <c r="A41" s="8">
        <f t="shared" si="5"/>
        <v>40</v>
      </c>
      <c r="B41" s="16" t="s">
        <v>142</v>
      </c>
      <c r="C41" s="19">
        <v>22000.0</v>
      </c>
      <c r="D41" s="7">
        <f t="shared" si="2"/>
        <v>13200</v>
      </c>
      <c r="E41" s="7">
        <f t="shared" ref="E41:F41" si="43">if($D41&lt;15000,$D41*12/100,15000*12/100)</f>
        <v>1584</v>
      </c>
      <c r="F41" s="7">
        <f t="shared" si="43"/>
        <v>1584</v>
      </c>
      <c r="G41" s="7">
        <f t="shared" si="4"/>
        <v>3168</v>
      </c>
    </row>
    <row r="42">
      <c r="A42" s="8">
        <f t="shared" si="5"/>
        <v>41</v>
      </c>
      <c r="B42" s="16" t="s">
        <v>143</v>
      </c>
      <c r="C42" s="19">
        <v>17000.0</v>
      </c>
      <c r="D42" s="7">
        <f t="shared" si="2"/>
        <v>10200</v>
      </c>
      <c r="E42" s="7">
        <f t="shared" ref="E42:F42" si="44">if($D42&lt;15000,$D42*12/100,15000*12/100)</f>
        <v>1224</v>
      </c>
      <c r="F42" s="7">
        <f t="shared" si="44"/>
        <v>1224</v>
      </c>
      <c r="G42" s="7">
        <f t="shared" si="4"/>
        <v>2448</v>
      </c>
    </row>
    <row r="43">
      <c r="A43" s="8">
        <f t="shared" si="5"/>
        <v>42</v>
      </c>
      <c r="B43" s="16" t="s">
        <v>145</v>
      </c>
      <c r="C43" s="19">
        <v>34397.0</v>
      </c>
      <c r="D43" s="7">
        <f t="shared" si="2"/>
        <v>20638.2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</row>
    <row r="44">
      <c r="A44" s="8">
        <f t="shared" si="5"/>
        <v>43</v>
      </c>
      <c r="B44" s="16" t="s">
        <v>148</v>
      </c>
      <c r="C44" s="19">
        <v>23000.0</v>
      </c>
      <c r="D44" s="7">
        <f t="shared" si="2"/>
        <v>13800</v>
      </c>
      <c r="E44" s="7">
        <f t="shared" ref="E44:F44" si="46">if($D44&lt;15000,$D44*12/100,15000*12/100)</f>
        <v>1656</v>
      </c>
      <c r="F44" s="7">
        <f t="shared" si="46"/>
        <v>1656</v>
      </c>
      <c r="G44" s="7">
        <f t="shared" si="4"/>
        <v>3312</v>
      </c>
    </row>
    <row r="45">
      <c r="A45" s="8">
        <f t="shared" si="5"/>
        <v>44</v>
      </c>
      <c r="B45" s="16" t="s">
        <v>149</v>
      </c>
      <c r="C45" s="19">
        <v>23000.0</v>
      </c>
      <c r="D45" s="7">
        <f t="shared" si="2"/>
        <v>13800</v>
      </c>
      <c r="E45" s="7">
        <f t="shared" ref="E45:F45" si="47">if($D45&lt;15000,$D45*12/100,15000*12/100)</f>
        <v>1656</v>
      </c>
      <c r="F45" s="7">
        <f t="shared" si="47"/>
        <v>1656</v>
      </c>
      <c r="G45" s="7">
        <f t="shared" si="4"/>
        <v>3312</v>
      </c>
    </row>
    <row r="46">
      <c r="A46" s="8">
        <f t="shared" si="5"/>
        <v>45</v>
      </c>
      <c r="B46" s="16" t="s">
        <v>150</v>
      </c>
      <c r="C46" s="20">
        <v>0.0</v>
      </c>
      <c r="D46" s="7">
        <f t="shared" si="2"/>
        <v>0</v>
      </c>
      <c r="E46" s="7">
        <f t="shared" ref="E46:F46" si="48">if($D46&lt;15000,$D46*12/100,15000*12/100)</f>
        <v>0</v>
      </c>
      <c r="F46" s="7">
        <f t="shared" si="48"/>
        <v>0</v>
      </c>
      <c r="G46" s="7">
        <f t="shared" si="4"/>
        <v>0</v>
      </c>
    </row>
    <row r="47">
      <c r="A47" s="8">
        <f t="shared" si="5"/>
        <v>46</v>
      </c>
      <c r="B47" s="16" t="s">
        <v>151</v>
      </c>
      <c r="C47" s="19">
        <v>21000.0</v>
      </c>
      <c r="D47" s="7">
        <f t="shared" si="2"/>
        <v>12600</v>
      </c>
      <c r="E47" s="7">
        <f t="shared" ref="E47:F47" si="49">if($D47&lt;15000,$D47*12/100,15000*12/100)</f>
        <v>1512</v>
      </c>
      <c r="F47" s="7">
        <f t="shared" si="49"/>
        <v>1512</v>
      </c>
      <c r="G47" s="7">
        <f t="shared" si="4"/>
        <v>3024</v>
      </c>
    </row>
    <row r="48">
      <c r="A48" s="8">
        <f t="shared" si="5"/>
        <v>47</v>
      </c>
      <c r="B48" s="16" t="s">
        <v>153</v>
      </c>
      <c r="C48" s="19">
        <v>25000.0</v>
      </c>
      <c r="D48" s="7">
        <f t="shared" si="2"/>
        <v>15000</v>
      </c>
      <c r="E48" s="7">
        <f t="shared" ref="E48:F48" si="50">if($D48&lt;15000,$D48*12/100,15000*12/100)</f>
        <v>1800</v>
      </c>
      <c r="F48" s="7">
        <f t="shared" si="50"/>
        <v>1800</v>
      </c>
      <c r="G48" s="7">
        <f t="shared" si="4"/>
        <v>3600</v>
      </c>
    </row>
    <row r="49">
      <c r="A49" s="8">
        <f t="shared" si="5"/>
        <v>48</v>
      </c>
      <c r="B49" s="16" t="s">
        <v>162</v>
      </c>
      <c r="C49" s="19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16" t="s">
        <v>163</v>
      </c>
      <c r="C50" s="19">
        <v>7724.0</v>
      </c>
      <c r="D50" s="7">
        <f t="shared" si="2"/>
        <v>4634.4</v>
      </c>
      <c r="E50" s="7">
        <f t="shared" ref="E50:F50" si="52">if($D50&lt;15000,$D50*12/100,15000*12/100)</f>
        <v>556.128</v>
      </c>
      <c r="F50" s="7">
        <f t="shared" si="52"/>
        <v>556.128</v>
      </c>
      <c r="G50" s="7">
        <f t="shared" si="4"/>
        <v>1112.256</v>
      </c>
    </row>
    <row r="51">
      <c r="A51" s="8">
        <f t="shared" si="5"/>
        <v>50</v>
      </c>
      <c r="B51" s="16" t="s">
        <v>164</v>
      </c>
      <c r="C51" s="19">
        <v>20000.0</v>
      </c>
      <c r="D51" s="7">
        <f t="shared" si="2"/>
        <v>12000</v>
      </c>
      <c r="E51" s="7">
        <f t="shared" ref="E51:F51" si="53">if($D51&lt;15000,$D51*12/100,15000*12/100)</f>
        <v>1440</v>
      </c>
      <c r="F51" s="7">
        <f t="shared" si="53"/>
        <v>1440</v>
      </c>
      <c r="G51" s="7">
        <f t="shared" si="4"/>
        <v>2880</v>
      </c>
    </row>
    <row r="52">
      <c r="A52" s="8">
        <f t="shared" si="5"/>
        <v>51</v>
      </c>
      <c r="B52" s="16" t="s">
        <v>165</v>
      </c>
      <c r="C52" s="19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16" t="s">
        <v>166</v>
      </c>
      <c r="C53" s="19">
        <v>14655.0</v>
      </c>
      <c r="D53" s="7">
        <f t="shared" si="2"/>
        <v>8793</v>
      </c>
      <c r="E53" s="7">
        <f t="shared" ref="E53:F53" si="55">if($D53&lt;15000,$D53*12/100,15000*12/100)</f>
        <v>1055.16</v>
      </c>
      <c r="F53" s="7">
        <f t="shared" si="55"/>
        <v>1055.16</v>
      </c>
      <c r="G53" s="7">
        <f t="shared" si="4"/>
        <v>2110.32</v>
      </c>
    </row>
    <row r="54">
      <c r="A54" s="8">
        <f t="shared" si="5"/>
        <v>53</v>
      </c>
      <c r="B54" s="16" t="s">
        <v>154</v>
      </c>
      <c r="C54" s="19">
        <v>17000.0</v>
      </c>
      <c r="D54" s="7">
        <f t="shared" si="2"/>
        <v>10200</v>
      </c>
      <c r="E54" s="7">
        <f t="shared" ref="E54:F54" si="56">if($D54&lt;15000,$D54*12/100,15000*12/100)</f>
        <v>1224</v>
      </c>
      <c r="F54" s="7">
        <f t="shared" si="56"/>
        <v>1224</v>
      </c>
      <c r="G54" s="7">
        <f t="shared" si="4"/>
        <v>2448</v>
      </c>
    </row>
    <row r="55">
      <c r="A55" s="8">
        <f t="shared" si="5"/>
        <v>54</v>
      </c>
      <c r="B55" s="16" t="s">
        <v>155</v>
      </c>
      <c r="C55" s="19">
        <v>23000.0</v>
      </c>
      <c r="D55" s="7">
        <f t="shared" si="2"/>
        <v>13800</v>
      </c>
      <c r="E55" s="7">
        <f t="shared" ref="E55:F55" si="57">if($D55&lt;15000,$D55*12/100,15000*12/100)</f>
        <v>1656</v>
      </c>
      <c r="F55" s="7">
        <f t="shared" si="57"/>
        <v>1656</v>
      </c>
      <c r="G55" s="7">
        <f t="shared" si="4"/>
        <v>3312</v>
      </c>
    </row>
    <row r="56">
      <c r="A56" s="8">
        <f t="shared" si="5"/>
        <v>55</v>
      </c>
      <c r="B56" s="16" t="s">
        <v>156</v>
      </c>
      <c r="C56" s="19">
        <v>19310.0</v>
      </c>
      <c r="D56" s="7">
        <f t="shared" si="2"/>
        <v>11586</v>
      </c>
      <c r="E56" s="7">
        <f t="shared" ref="E56:F56" si="58">if($D56&lt;15000,$D56*12/100,15000*12/100)</f>
        <v>1390.32</v>
      </c>
      <c r="F56" s="7">
        <f t="shared" si="58"/>
        <v>1390.32</v>
      </c>
      <c r="G56" s="7">
        <f t="shared" si="4"/>
        <v>2780.64</v>
      </c>
    </row>
    <row r="57">
      <c r="A57" s="8">
        <f t="shared" si="5"/>
        <v>56</v>
      </c>
      <c r="B57" s="16" t="s">
        <v>157</v>
      </c>
      <c r="C57" s="19">
        <v>20000.0</v>
      </c>
      <c r="D57" s="7">
        <f t="shared" si="2"/>
        <v>12000</v>
      </c>
      <c r="E57" s="7">
        <f t="shared" ref="E57:F57" si="59">if($D57&lt;15000,$D57*12/100,15000*12/100)</f>
        <v>1440</v>
      </c>
      <c r="F57" s="7">
        <f t="shared" si="59"/>
        <v>1440</v>
      </c>
      <c r="G57" s="7">
        <f t="shared" si="4"/>
        <v>2880</v>
      </c>
    </row>
    <row r="58">
      <c r="A58" s="8">
        <f t="shared" si="5"/>
        <v>57</v>
      </c>
      <c r="B58" s="16" t="s">
        <v>160</v>
      </c>
      <c r="C58" s="19">
        <v>18345.0</v>
      </c>
      <c r="D58" s="7">
        <f t="shared" si="2"/>
        <v>11007</v>
      </c>
      <c r="E58" s="7">
        <f t="shared" ref="E58:F58" si="60">if($D58&lt;15000,$D58*12/100,15000*12/100)</f>
        <v>1320.84</v>
      </c>
      <c r="F58" s="7">
        <f t="shared" si="60"/>
        <v>1320.84</v>
      </c>
      <c r="G58" s="7">
        <f t="shared" si="4"/>
        <v>2641.68</v>
      </c>
    </row>
    <row r="59">
      <c r="A59" s="8">
        <f t="shared" si="5"/>
        <v>58</v>
      </c>
      <c r="B59" s="16" t="s">
        <v>161</v>
      </c>
      <c r="C59" s="7">
        <v>14000.0</v>
      </c>
      <c r="D59" s="7">
        <f t="shared" si="2"/>
        <v>8400</v>
      </c>
      <c r="E59" s="7">
        <f t="shared" ref="E59:F59" si="61">if($D59&lt;15000,$D59*12/100,15000*12/100)</f>
        <v>1008</v>
      </c>
      <c r="F59" s="7">
        <f t="shared" si="61"/>
        <v>1008</v>
      </c>
      <c r="G59" s="7">
        <f t="shared" si="4"/>
        <v>2016</v>
      </c>
    </row>
    <row r="60">
      <c r="A60" s="8">
        <f t="shared" si="5"/>
        <v>59</v>
      </c>
      <c r="B60" s="16" t="s">
        <v>167</v>
      </c>
      <c r="C60" s="7">
        <v>23000.0</v>
      </c>
      <c r="D60" s="7">
        <f t="shared" si="2"/>
        <v>13800</v>
      </c>
      <c r="E60" s="7">
        <f t="shared" ref="E60:F60" si="62">if($D60&lt;15000,$D60*12/100,15000*12/100)</f>
        <v>1656</v>
      </c>
      <c r="F60" s="7">
        <f t="shared" si="62"/>
        <v>1656</v>
      </c>
      <c r="G60" s="7">
        <f t="shared" si="4"/>
        <v>3312</v>
      </c>
    </row>
    <row r="61">
      <c r="A61" s="8">
        <f t="shared" si="5"/>
        <v>60</v>
      </c>
      <c r="B61" s="16" t="s">
        <v>168</v>
      </c>
      <c r="C61" s="7">
        <v>13966.0</v>
      </c>
      <c r="D61" s="7">
        <f t="shared" si="2"/>
        <v>8379.6</v>
      </c>
      <c r="E61" s="7">
        <f t="shared" ref="E61:F61" si="63">if($D61&lt;15000,$D61*12/100,15000*12/100)</f>
        <v>1005.552</v>
      </c>
      <c r="F61" s="7">
        <f t="shared" si="63"/>
        <v>1005.552</v>
      </c>
      <c r="G61" s="7">
        <f t="shared" si="4"/>
        <v>2011.104</v>
      </c>
    </row>
    <row r="62">
      <c r="A62" s="9" t="s">
        <v>34</v>
      </c>
      <c r="B62" s="10"/>
      <c r="C62" s="11">
        <f t="shared" ref="C62:G62" si="64">sum(C2:C61)</f>
        <v>1345381</v>
      </c>
      <c r="D62" s="11">
        <f t="shared" si="64"/>
        <v>807228.6</v>
      </c>
      <c r="E62" s="11">
        <f t="shared" si="64"/>
        <v>84077.424</v>
      </c>
      <c r="F62" s="11">
        <f t="shared" si="64"/>
        <v>84077.424</v>
      </c>
      <c r="G62" s="11">
        <f t="shared" si="64"/>
        <v>168154.848</v>
      </c>
    </row>
  </sheetData>
  <mergeCells count="1">
    <mergeCell ref="A62:B62"/>
  </mergeCells>
  <hyperlinks>
    <hyperlink r:id="rId1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63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63" si="4">E2+F2</f>
        <v>3600</v>
      </c>
    </row>
    <row r="3">
      <c r="A3" s="8">
        <f t="shared" ref="A3:A63" si="5">A2+1</f>
        <v>2</v>
      </c>
      <c r="B3" s="17" t="s">
        <v>101</v>
      </c>
      <c r="C3" s="7">
        <v>54113.0</v>
      </c>
      <c r="D3" s="7">
        <f t="shared" si="2"/>
        <v>32467.8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19306.0</v>
      </c>
      <c r="D9" s="7">
        <f t="shared" si="2"/>
        <v>11583.6</v>
      </c>
      <c r="E9" s="7">
        <f t="shared" ref="E9:F9" si="11">if($D9&lt;15000,$D9*12/100,15000*12/100)</f>
        <v>1390.032</v>
      </c>
      <c r="F9" s="7">
        <f t="shared" si="11"/>
        <v>1390.032</v>
      </c>
      <c r="G9" s="7">
        <f t="shared" si="4"/>
        <v>2780.064</v>
      </c>
    </row>
    <row r="10">
      <c r="A10" s="8">
        <f t="shared" si="5"/>
        <v>9</v>
      </c>
      <c r="B10" s="17" t="s">
        <v>108</v>
      </c>
      <c r="C10" s="7">
        <v>23387.0</v>
      </c>
      <c r="D10" s="7">
        <f t="shared" si="2"/>
        <v>14032.2</v>
      </c>
      <c r="E10" s="7">
        <f t="shared" ref="E10:F10" si="12">if($D10&lt;15000,$D10*12/100,15000*12/100)</f>
        <v>1683.864</v>
      </c>
      <c r="F10" s="7">
        <f t="shared" si="12"/>
        <v>1683.864</v>
      </c>
      <c r="G10" s="7">
        <f t="shared" si="4"/>
        <v>3367.728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114</v>
      </c>
      <c r="C15" s="7">
        <v>28000.0</v>
      </c>
      <c r="D15" s="7">
        <f t="shared" si="2"/>
        <v>16800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17" t="s">
        <v>115</v>
      </c>
      <c r="C16" s="7">
        <v>9000.0</v>
      </c>
      <c r="D16" s="7">
        <f t="shared" si="2"/>
        <v>5400</v>
      </c>
      <c r="E16" s="7">
        <f t="shared" ref="E16:F16" si="18">if($D16&lt;15000,$D16*12/100,15000*12/100)</f>
        <v>648</v>
      </c>
      <c r="F16" s="7">
        <f t="shared" si="18"/>
        <v>648</v>
      </c>
      <c r="G16" s="7">
        <f t="shared" si="4"/>
        <v>1296</v>
      </c>
    </row>
    <row r="17">
      <c r="A17" s="8">
        <f t="shared" si="5"/>
        <v>16</v>
      </c>
      <c r="B17" s="17" t="s">
        <v>116</v>
      </c>
      <c r="C17" s="7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17" t="s">
        <v>117</v>
      </c>
      <c r="C18" s="7">
        <v>16452.0</v>
      </c>
      <c r="D18" s="7">
        <f t="shared" si="2"/>
        <v>9871.2</v>
      </c>
      <c r="E18" s="7">
        <f t="shared" ref="E18:F18" si="20">if($D18&lt;15000,$D18*12/100,15000*12/100)</f>
        <v>1184.544</v>
      </c>
      <c r="F18" s="7">
        <f t="shared" si="20"/>
        <v>1184.544</v>
      </c>
      <c r="G18" s="7">
        <f t="shared" si="4"/>
        <v>2369.088</v>
      </c>
    </row>
    <row r="19">
      <c r="A19" s="8">
        <f t="shared" si="5"/>
        <v>18</v>
      </c>
      <c r="B19" s="17" t="s">
        <v>118</v>
      </c>
      <c r="C19" s="7">
        <v>25000.0</v>
      </c>
      <c r="D19" s="7">
        <f t="shared" si="2"/>
        <v>15000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17" t="s">
        <v>119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120</v>
      </c>
      <c r="C21" s="7">
        <v>24194.0</v>
      </c>
      <c r="D21" s="7">
        <f t="shared" si="2"/>
        <v>14516.4</v>
      </c>
      <c r="E21" s="7">
        <f t="shared" ref="E21:F21" si="23">if($D21&lt;15000,$D21*12/100,15000*12/100)</f>
        <v>1741.968</v>
      </c>
      <c r="F21" s="7">
        <f t="shared" si="23"/>
        <v>1741.968</v>
      </c>
      <c r="G21" s="7">
        <f t="shared" si="4"/>
        <v>3483.936</v>
      </c>
    </row>
    <row r="22">
      <c r="A22" s="8">
        <f t="shared" si="5"/>
        <v>21</v>
      </c>
      <c r="B22" s="17" t="s">
        <v>121</v>
      </c>
      <c r="C22" s="7">
        <v>16000.0</v>
      </c>
      <c r="D22" s="7">
        <f t="shared" si="2"/>
        <v>9600</v>
      </c>
      <c r="E22" s="7">
        <f t="shared" ref="E22:F22" si="24">if($D22&lt;15000,$D22*12/100,15000*12/100)</f>
        <v>1152</v>
      </c>
      <c r="F22" s="7">
        <f t="shared" si="24"/>
        <v>1152</v>
      </c>
      <c r="G22" s="7">
        <f t="shared" si="4"/>
        <v>2304</v>
      </c>
    </row>
    <row r="23">
      <c r="A23" s="8">
        <f t="shared" si="5"/>
        <v>22</v>
      </c>
      <c r="B23" s="17" t="s">
        <v>122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123</v>
      </c>
      <c r="C24" s="7">
        <v>8000.0</v>
      </c>
      <c r="D24" s="7">
        <f t="shared" si="2"/>
        <v>4800</v>
      </c>
      <c r="E24" s="7">
        <f t="shared" ref="E24:F24" si="26">if($D24&lt;15000,$D24*12/100,15000*12/100)</f>
        <v>576</v>
      </c>
      <c r="F24" s="7">
        <f t="shared" si="26"/>
        <v>576</v>
      </c>
      <c r="G24" s="7">
        <f t="shared" si="4"/>
        <v>1152</v>
      </c>
    </row>
    <row r="25">
      <c r="A25" s="8">
        <f t="shared" si="5"/>
        <v>24</v>
      </c>
      <c r="B25" s="17" t="s">
        <v>124</v>
      </c>
      <c r="C25" s="7">
        <v>17419.0</v>
      </c>
      <c r="D25" s="7">
        <f t="shared" si="2"/>
        <v>10451.4</v>
      </c>
      <c r="E25" s="7">
        <f t="shared" ref="E25:F25" si="27">if($D25&lt;15000,$D25*12/100,15000*12/100)</f>
        <v>1254.168</v>
      </c>
      <c r="F25" s="7">
        <f t="shared" si="27"/>
        <v>1254.168</v>
      </c>
      <c r="G25" s="7">
        <f t="shared" si="4"/>
        <v>2508.336</v>
      </c>
    </row>
    <row r="26">
      <c r="A26" s="8">
        <f t="shared" si="5"/>
        <v>25</v>
      </c>
      <c r="B26" s="17" t="s">
        <v>126</v>
      </c>
      <c r="C26" s="7">
        <v>25000.0</v>
      </c>
      <c r="D26" s="7">
        <f t="shared" si="2"/>
        <v>15000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17" t="s">
        <v>127</v>
      </c>
      <c r="C27" s="7">
        <v>18968.0</v>
      </c>
      <c r="D27" s="7">
        <f t="shared" si="2"/>
        <v>11380.8</v>
      </c>
      <c r="E27" s="7">
        <f t="shared" ref="E27:F27" si="29">if($D27&lt;15000,$D27*12/100,15000*12/100)</f>
        <v>1365.696</v>
      </c>
      <c r="F27" s="7">
        <f t="shared" si="29"/>
        <v>1365.696</v>
      </c>
      <c r="G27" s="7">
        <f t="shared" si="4"/>
        <v>2731.392</v>
      </c>
    </row>
    <row r="28">
      <c r="A28" s="8">
        <f t="shared" si="5"/>
        <v>27</v>
      </c>
      <c r="B28" s="17" t="s">
        <v>128</v>
      </c>
      <c r="C28" s="7">
        <v>6000.0</v>
      </c>
      <c r="D28" s="7">
        <f t="shared" si="2"/>
        <v>3600</v>
      </c>
      <c r="E28" s="7">
        <f t="shared" ref="E28:F28" si="30">if($D28&lt;15000,$D28*12/100,15000*12/100)</f>
        <v>432</v>
      </c>
      <c r="F28" s="7">
        <f t="shared" si="30"/>
        <v>432</v>
      </c>
      <c r="G28" s="7">
        <f t="shared" si="4"/>
        <v>864</v>
      </c>
    </row>
    <row r="29">
      <c r="A29" s="8">
        <f t="shared" si="5"/>
        <v>28</v>
      </c>
      <c r="B29" s="17" t="s">
        <v>129</v>
      </c>
      <c r="C29" s="7">
        <v>16452.0</v>
      </c>
      <c r="D29" s="7">
        <f t="shared" si="2"/>
        <v>9871.2</v>
      </c>
      <c r="E29" s="7">
        <f t="shared" ref="E29:F29" si="31">if($D29&lt;15000,$D29*12/100,15000*12/100)</f>
        <v>1184.544</v>
      </c>
      <c r="F29" s="7">
        <f t="shared" si="31"/>
        <v>1184.544</v>
      </c>
      <c r="G29" s="7">
        <f t="shared" si="4"/>
        <v>2369.088</v>
      </c>
    </row>
    <row r="30">
      <c r="A30" s="8">
        <f t="shared" si="5"/>
        <v>29</v>
      </c>
      <c r="B30" s="17" t="s">
        <v>130</v>
      </c>
      <c r="C30" s="7">
        <v>16000.0</v>
      </c>
      <c r="D30" s="7">
        <f t="shared" si="2"/>
        <v>9600</v>
      </c>
      <c r="E30" s="7">
        <f t="shared" ref="E30:F30" si="32">if($D30&lt;15000,$D30*12/100,15000*12/100)</f>
        <v>1152</v>
      </c>
      <c r="F30" s="7">
        <f t="shared" si="32"/>
        <v>1152</v>
      </c>
      <c r="G30" s="7">
        <f t="shared" si="4"/>
        <v>2304</v>
      </c>
    </row>
    <row r="31">
      <c r="A31" s="8">
        <f t="shared" si="5"/>
        <v>30</v>
      </c>
      <c r="B31" s="17" t="s">
        <v>131</v>
      </c>
      <c r="C31" s="7">
        <v>16000.0</v>
      </c>
      <c r="D31" s="7">
        <f t="shared" si="2"/>
        <v>9600</v>
      </c>
      <c r="E31" s="7">
        <f t="shared" ref="E31:F31" si="33">if($D31&lt;15000,$D31*12/100,15000*12/100)</f>
        <v>1152</v>
      </c>
      <c r="F31" s="7">
        <f t="shared" si="33"/>
        <v>1152</v>
      </c>
      <c r="G31" s="7">
        <f t="shared" si="4"/>
        <v>2304</v>
      </c>
    </row>
    <row r="32">
      <c r="A32" s="8">
        <f t="shared" si="5"/>
        <v>31</v>
      </c>
      <c r="B32" s="17" t="s">
        <v>132</v>
      </c>
      <c r="C32" s="7">
        <v>21290.0</v>
      </c>
      <c r="D32" s="7">
        <f t="shared" si="2"/>
        <v>12774</v>
      </c>
      <c r="E32" s="7">
        <f t="shared" ref="E32:F32" si="34">if($D32&lt;15000,$D32*12/100,15000*12/100)</f>
        <v>1532.88</v>
      </c>
      <c r="F32" s="7">
        <f t="shared" si="34"/>
        <v>1532.88</v>
      </c>
      <c r="G32" s="7">
        <f t="shared" si="4"/>
        <v>3065.76</v>
      </c>
    </row>
    <row r="33">
      <c r="A33" s="8">
        <f t="shared" si="5"/>
        <v>32</v>
      </c>
      <c r="B33" s="17" t="s">
        <v>134</v>
      </c>
      <c r="C33" s="7">
        <v>12000.0</v>
      </c>
      <c r="D33" s="7">
        <f t="shared" si="2"/>
        <v>7200</v>
      </c>
      <c r="E33" s="7">
        <f t="shared" ref="E33:F33" si="35">if($D33&lt;15000,$D33*12/100,15000*12/100)</f>
        <v>864</v>
      </c>
      <c r="F33" s="7">
        <f t="shared" si="35"/>
        <v>864</v>
      </c>
      <c r="G33" s="7">
        <f t="shared" si="4"/>
        <v>1728</v>
      </c>
    </row>
    <row r="34">
      <c r="A34" s="8">
        <f t="shared" si="5"/>
        <v>33</v>
      </c>
      <c r="B34" s="18" t="s">
        <v>135</v>
      </c>
      <c r="C34" s="7">
        <v>21371.0</v>
      </c>
      <c r="D34" s="7">
        <f t="shared" si="2"/>
        <v>12822.6</v>
      </c>
      <c r="E34" s="7">
        <f t="shared" ref="E34:F34" si="36">if($D34&lt;15000,$D34*12/100,15000*12/100)</f>
        <v>1538.712</v>
      </c>
      <c r="F34" s="7">
        <f t="shared" si="36"/>
        <v>1538.712</v>
      </c>
      <c r="G34" s="7">
        <f t="shared" si="4"/>
        <v>3077.424</v>
      </c>
    </row>
    <row r="35">
      <c r="A35" s="8">
        <f t="shared" si="5"/>
        <v>34</v>
      </c>
      <c r="B35" s="18" t="s">
        <v>136</v>
      </c>
      <c r="C35" s="7">
        <v>35000.0</v>
      </c>
      <c r="D35" s="7">
        <f t="shared" si="2"/>
        <v>21000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137</v>
      </c>
      <c r="C36" s="7">
        <v>32000.0</v>
      </c>
      <c r="D36" s="7">
        <f t="shared" si="2"/>
        <v>19200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138</v>
      </c>
      <c r="C37" s="19">
        <v>25000.0</v>
      </c>
      <c r="D37" s="7">
        <f t="shared" si="2"/>
        <v>15000</v>
      </c>
      <c r="E37" s="7">
        <f t="shared" ref="E37:F37" si="39">if($D37&lt;15000,$D37*12/100,15000*12/100)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16" t="s">
        <v>139</v>
      </c>
      <c r="C38" s="19">
        <v>20000.0</v>
      </c>
      <c r="D38" s="7">
        <f t="shared" si="2"/>
        <v>12000</v>
      </c>
      <c r="E38" s="7">
        <f t="shared" ref="E38:F38" si="40">if($D38&lt;15000,$D38*12/100,15000*12/100)</f>
        <v>1440</v>
      </c>
      <c r="F38" s="7">
        <f t="shared" si="40"/>
        <v>1440</v>
      </c>
      <c r="G38" s="7">
        <f t="shared" si="4"/>
        <v>2880</v>
      </c>
    </row>
    <row r="39">
      <c r="A39" s="8">
        <f t="shared" si="5"/>
        <v>38</v>
      </c>
      <c r="B39" s="16" t="s">
        <v>140</v>
      </c>
      <c r="C39" s="19">
        <v>18710.0</v>
      </c>
      <c r="D39" s="7">
        <f t="shared" si="2"/>
        <v>11226</v>
      </c>
      <c r="E39" s="7">
        <f t="shared" ref="E39:F39" si="41">if($D39&lt;15000,$D39*12/100,15000*12/100)</f>
        <v>1347.12</v>
      </c>
      <c r="F39" s="7">
        <f t="shared" si="41"/>
        <v>1347.12</v>
      </c>
      <c r="G39" s="7">
        <f t="shared" si="4"/>
        <v>2694.24</v>
      </c>
    </row>
    <row r="40">
      <c r="A40" s="8">
        <f t="shared" si="5"/>
        <v>39</v>
      </c>
      <c r="B40" s="16" t="s">
        <v>152</v>
      </c>
      <c r="C40" s="19">
        <v>8000.0</v>
      </c>
      <c r="D40" s="7">
        <f t="shared" si="2"/>
        <v>4800</v>
      </c>
      <c r="E40" s="7">
        <f t="shared" ref="E40:F40" si="42">if($D40&lt;15000,$D40*12/100,15000*12/100)</f>
        <v>576</v>
      </c>
      <c r="F40" s="7">
        <f t="shared" si="42"/>
        <v>576</v>
      </c>
      <c r="G40" s="7">
        <f t="shared" si="4"/>
        <v>1152</v>
      </c>
    </row>
    <row r="41">
      <c r="A41" s="8">
        <f t="shared" si="5"/>
        <v>40</v>
      </c>
      <c r="B41" s="16" t="s">
        <v>142</v>
      </c>
      <c r="C41" s="19">
        <v>20581.0</v>
      </c>
      <c r="D41" s="7">
        <f t="shared" si="2"/>
        <v>12348.6</v>
      </c>
      <c r="E41" s="7">
        <f t="shared" ref="E41:F41" si="43">if($D41&lt;15000,$D41*12/100,15000*12/100)</f>
        <v>1481.832</v>
      </c>
      <c r="F41" s="7">
        <f t="shared" si="43"/>
        <v>1481.832</v>
      </c>
      <c r="G41" s="7">
        <f t="shared" si="4"/>
        <v>2963.664</v>
      </c>
    </row>
    <row r="42">
      <c r="A42" s="8">
        <f t="shared" si="5"/>
        <v>41</v>
      </c>
      <c r="B42" s="16" t="s">
        <v>143</v>
      </c>
      <c r="C42" s="19">
        <v>15903.0</v>
      </c>
      <c r="D42" s="7">
        <f t="shared" si="2"/>
        <v>9541.8</v>
      </c>
      <c r="E42" s="7">
        <f t="shared" ref="E42:F42" si="44">if($D42&lt;15000,$D42*12/100,15000*12/100)</f>
        <v>1145.016</v>
      </c>
      <c r="F42" s="7">
        <f t="shared" si="44"/>
        <v>1145.016</v>
      </c>
      <c r="G42" s="7">
        <f t="shared" si="4"/>
        <v>2290.032</v>
      </c>
    </row>
    <row r="43">
      <c r="A43" s="8">
        <f t="shared" si="5"/>
        <v>42</v>
      </c>
      <c r="B43" s="16" t="s">
        <v>145</v>
      </c>
      <c r="C43" s="19">
        <v>35000.0</v>
      </c>
      <c r="D43" s="7">
        <f t="shared" si="2"/>
        <v>21000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</row>
    <row r="44">
      <c r="A44" s="8">
        <f t="shared" si="5"/>
        <v>43</v>
      </c>
      <c r="B44" s="16" t="s">
        <v>148</v>
      </c>
      <c r="C44" s="19">
        <v>21887.0</v>
      </c>
      <c r="D44" s="7">
        <f t="shared" si="2"/>
        <v>13132.2</v>
      </c>
      <c r="E44" s="7">
        <f t="shared" ref="E44:F44" si="46">if($D44&lt;15000,$D44*12/100,15000*12/100)</f>
        <v>1575.864</v>
      </c>
      <c r="F44" s="7">
        <f t="shared" si="46"/>
        <v>1575.864</v>
      </c>
      <c r="G44" s="7">
        <f t="shared" si="4"/>
        <v>3151.728</v>
      </c>
    </row>
    <row r="45">
      <c r="A45" s="8">
        <f t="shared" si="5"/>
        <v>44</v>
      </c>
      <c r="B45" s="16" t="s">
        <v>149</v>
      </c>
      <c r="C45" s="19">
        <v>21887.0</v>
      </c>
      <c r="D45" s="7">
        <f t="shared" si="2"/>
        <v>13132.2</v>
      </c>
      <c r="E45" s="7">
        <f t="shared" ref="E45:F45" si="47">if($D45&lt;15000,$D45*12/100,15000*12/100)</f>
        <v>1575.864</v>
      </c>
      <c r="F45" s="7">
        <f t="shared" si="47"/>
        <v>1575.864</v>
      </c>
      <c r="G45" s="7">
        <f t="shared" si="4"/>
        <v>3151.728</v>
      </c>
    </row>
    <row r="46">
      <c r="A46" s="8">
        <f t="shared" si="5"/>
        <v>45</v>
      </c>
      <c r="B46" s="16" t="s">
        <v>150</v>
      </c>
      <c r="C46" s="20">
        <v>0.0</v>
      </c>
      <c r="D46" s="7">
        <f t="shared" si="2"/>
        <v>0</v>
      </c>
      <c r="E46" s="7">
        <f t="shared" ref="E46:F46" si="48">if($D46&lt;15000,$D46*12/100,15000*12/100)</f>
        <v>0</v>
      </c>
      <c r="F46" s="7">
        <f t="shared" si="48"/>
        <v>0</v>
      </c>
      <c r="G46" s="7">
        <f t="shared" si="4"/>
        <v>0</v>
      </c>
    </row>
    <row r="47">
      <c r="A47" s="8">
        <f t="shared" si="5"/>
        <v>46</v>
      </c>
      <c r="B47" s="16" t="s">
        <v>151</v>
      </c>
      <c r="C47" s="19">
        <v>21000.0</v>
      </c>
      <c r="D47" s="7">
        <f t="shared" si="2"/>
        <v>12600</v>
      </c>
      <c r="E47" s="7">
        <f t="shared" ref="E47:F47" si="49">if($D47&lt;15000,$D47*12/100,15000*12/100)</f>
        <v>1512</v>
      </c>
      <c r="F47" s="7">
        <f t="shared" si="49"/>
        <v>1512</v>
      </c>
      <c r="G47" s="7">
        <f t="shared" si="4"/>
        <v>3024</v>
      </c>
    </row>
    <row r="48">
      <c r="A48" s="8">
        <f t="shared" si="5"/>
        <v>47</v>
      </c>
      <c r="B48" s="16" t="s">
        <v>153</v>
      </c>
      <c r="C48" s="19">
        <v>25000.0</v>
      </c>
      <c r="D48" s="7">
        <f t="shared" si="2"/>
        <v>15000</v>
      </c>
      <c r="E48" s="7">
        <f t="shared" ref="E48:F48" si="50">if($D48&lt;15000,$D48*12/100,15000*12/100)</f>
        <v>1800</v>
      </c>
      <c r="F48" s="7">
        <f t="shared" si="50"/>
        <v>1800</v>
      </c>
      <c r="G48" s="7">
        <f t="shared" si="4"/>
        <v>3600</v>
      </c>
    </row>
    <row r="49">
      <c r="A49" s="8">
        <f t="shared" si="5"/>
        <v>48</v>
      </c>
      <c r="B49" s="16" t="s">
        <v>162</v>
      </c>
      <c r="C49" s="19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16" t="s">
        <v>163</v>
      </c>
      <c r="C50" s="19">
        <v>7355.0</v>
      </c>
      <c r="D50" s="7">
        <f t="shared" si="2"/>
        <v>4413</v>
      </c>
      <c r="E50" s="7">
        <f t="shared" ref="E50:F50" si="52">if($D50&lt;15000,$D50*12/100,15000*12/100)</f>
        <v>529.56</v>
      </c>
      <c r="F50" s="7">
        <f t="shared" si="52"/>
        <v>529.56</v>
      </c>
      <c r="G50" s="7">
        <f t="shared" si="4"/>
        <v>1059.12</v>
      </c>
    </row>
    <row r="51">
      <c r="A51" s="8">
        <f t="shared" si="5"/>
        <v>50</v>
      </c>
      <c r="B51" s="16" t="s">
        <v>164</v>
      </c>
      <c r="C51" s="19">
        <v>20000.0</v>
      </c>
      <c r="D51" s="7">
        <f t="shared" si="2"/>
        <v>12000</v>
      </c>
      <c r="E51" s="7">
        <f t="shared" ref="E51:F51" si="53">if($D51&lt;15000,$D51*12/100,15000*12/100)</f>
        <v>1440</v>
      </c>
      <c r="F51" s="7">
        <f t="shared" si="53"/>
        <v>1440</v>
      </c>
      <c r="G51" s="7">
        <f t="shared" si="4"/>
        <v>2880</v>
      </c>
    </row>
    <row r="52">
      <c r="A52" s="8">
        <f t="shared" si="5"/>
        <v>51</v>
      </c>
      <c r="B52" s="16" t="s">
        <v>165</v>
      </c>
      <c r="C52" s="19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16" t="s">
        <v>166</v>
      </c>
      <c r="C53" s="19">
        <v>17000.0</v>
      </c>
      <c r="D53" s="7">
        <f t="shared" si="2"/>
        <v>10200</v>
      </c>
      <c r="E53" s="7">
        <f t="shared" ref="E53:F53" si="55">if($D53&lt;15000,$D53*12/100,15000*12/100)</f>
        <v>1224</v>
      </c>
      <c r="F53" s="7">
        <f t="shared" si="55"/>
        <v>1224</v>
      </c>
      <c r="G53" s="7">
        <f t="shared" si="4"/>
        <v>2448</v>
      </c>
    </row>
    <row r="54">
      <c r="A54" s="8">
        <f t="shared" si="5"/>
        <v>53</v>
      </c>
      <c r="B54" s="16" t="s">
        <v>169</v>
      </c>
      <c r="C54" s="19">
        <v>11613.0</v>
      </c>
      <c r="D54" s="7">
        <f t="shared" si="2"/>
        <v>6967.8</v>
      </c>
      <c r="E54" s="7">
        <f t="shared" ref="E54:F54" si="56">if($D54&lt;15000,$D54*12/100,15000*12/100)</f>
        <v>836.136</v>
      </c>
      <c r="F54" s="7">
        <f t="shared" si="56"/>
        <v>836.136</v>
      </c>
      <c r="G54" s="7">
        <f t="shared" si="4"/>
        <v>1672.272</v>
      </c>
    </row>
    <row r="55">
      <c r="A55" s="8">
        <f t="shared" si="5"/>
        <v>54</v>
      </c>
      <c r="B55" s="16" t="s">
        <v>170</v>
      </c>
      <c r="C55" s="19">
        <v>7742.0</v>
      </c>
      <c r="D55" s="7">
        <f t="shared" si="2"/>
        <v>4645.2</v>
      </c>
      <c r="E55" s="7">
        <f t="shared" ref="E55:F55" si="57">if($D55&lt;15000,$D55*12/100,15000*12/100)</f>
        <v>557.424</v>
      </c>
      <c r="F55" s="7">
        <f t="shared" si="57"/>
        <v>557.424</v>
      </c>
      <c r="G55" s="7">
        <f t="shared" si="4"/>
        <v>1114.848</v>
      </c>
    </row>
    <row r="56">
      <c r="A56" s="8">
        <f t="shared" si="5"/>
        <v>55</v>
      </c>
      <c r="B56" s="16" t="s">
        <v>154</v>
      </c>
      <c r="C56" s="19">
        <v>17000.0</v>
      </c>
      <c r="D56" s="7">
        <f t="shared" si="2"/>
        <v>10200</v>
      </c>
      <c r="E56" s="7">
        <f t="shared" ref="E56:F56" si="58">if($D56&lt;15000,$D56*12/100,15000*12/100)</f>
        <v>1224</v>
      </c>
      <c r="F56" s="7">
        <f t="shared" si="58"/>
        <v>1224</v>
      </c>
      <c r="G56" s="7">
        <f t="shared" si="4"/>
        <v>2448</v>
      </c>
    </row>
    <row r="57">
      <c r="A57" s="8">
        <f t="shared" si="5"/>
        <v>56</v>
      </c>
      <c r="B57" s="16" t="s">
        <v>155</v>
      </c>
      <c r="C57" s="19">
        <v>23000.0</v>
      </c>
      <c r="D57" s="7">
        <f t="shared" si="2"/>
        <v>13800</v>
      </c>
      <c r="E57" s="7">
        <f t="shared" ref="E57:F57" si="59">if($D57&lt;15000,$D57*12/100,15000*12/100)</f>
        <v>1656</v>
      </c>
      <c r="F57" s="7">
        <f t="shared" si="59"/>
        <v>1656</v>
      </c>
      <c r="G57" s="7">
        <f t="shared" si="4"/>
        <v>3312</v>
      </c>
    </row>
    <row r="58">
      <c r="A58" s="8">
        <f t="shared" si="5"/>
        <v>57</v>
      </c>
      <c r="B58" s="16" t="s">
        <v>156</v>
      </c>
      <c r="C58" s="1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16" t="s">
        <v>157</v>
      </c>
      <c r="C59" s="7">
        <v>20000.0</v>
      </c>
      <c r="D59" s="7">
        <f t="shared" si="2"/>
        <v>12000</v>
      </c>
      <c r="E59" s="7">
        <f t="shared" ref="E59:F59" si="61">if($D59&lt;15000,$D59*12/100,15000*12/100)</f>
        <v>1440</v>
      </c>
      <c r="F59" s="7">
        <f t="shared" si="61"/>
        <v>1440</v>
      </c>
      <c r="G59" s="7">
        <f t="shared" si="4"/>
        <v>2880</v>
      </c>
    </row>
    <row r="60">
      <c r="A60" s="8">
        <f t="shared" si="5"/>
        <v>59</v>
      </c>
      <c r="B60" s="16" t="s">
        <v>160</v>
      </c>
      <c r="C60" s="7">
        <v>18387.0</v>
      </c>
      <c r="D60" s="7">
        <f t="shared" si="2"/>
        <v>11032.2</v>
      </c>
      <c r="E60" s="7">
        <f t="shared" ref="E60:F60" si="62">if($D60&lt;15000,$D60*12/100,15000*12/100)</f>
        <v>1323.864</v>
      </c>
      <c r="F60" s="7">
        <f t="shared" si="62"/>
        <v>1323.864</v>
      </c>
      <c r="G60" s="7">
        <f t="shared" si="4"/>
        <v>2647.728</v>
      </c>
    </row>
    <row r="61">
      <c r="A61" s="8">
        <f t="shared" si="5"/>
        <v>60</v>
      </c>
      <c r="B61" s="16" t="s">
        <v>161</v>
      </c>
      <c r="C61" s="7">
        <v>14000.0</v>
      </c>
      <c r="D61" s="7">
        <f t="shared" si="2"/>
        <v>8400</v>
      </c>
      <c r="E61" s="7">
        <f t="shared" ref="E61:F61" si="63">if($D61&lt;15000,$D61*12/100,15000*12/100)</f>
        <v>1008</v>
      </c>
      <c r="F61" s="7">
        <f t="shared" si="63"/>
        <v>1008</v>
      </c>
      <c r="G61" s="7">
        <f t="shared" si="4"/>
        <v>2016</v>
      </c>
    </row>
    <row r="62">
      <c r="A62" s="8">
        <f t="shared" si="5"/>
        <v>61</v>
      </c>
      <c r="B62" s="16" t="s">
        <v>167</v>
      </c>
      <c r="C62" s="7">
        <v>23000.0</v>
      </c>
      <c r="D62" s="7">
        <f t="shared" si="2"/>
        <v>13800</v>
      </c>
      <c r="E62" s="7">
        <f t="shared" ref="E62:F62" si="64">if($D62&lt;15000,$D62*12/100,15000*12/100)</f>
        <v>1656</v>
      </c>
      <c r="F62" s="7">
        <f t="shared" si="64"/>
        <v>1656</v>
      </c>
      <c r="G62" s="7">
        <f t="shared" si="4"/>
        <v>3312</v>
      </c>
    </row>
    <row r="63">
      <c r="A63" s="8">
        <f t="shared" si="5"/>
        <v>62</v>
      </c>
      <c r="B63" s="16" t="s">
        <v>168</v>
      </c>
      <c r="C63" s="7">
        <v>15000.0</v>
      </c>
      <c r="D63" s="7">
        <f t="shared" si="2"/>
        <v>9000</v>
      </c>
      <c r="E63" s="7">
        <f t="shared" ref="E63:F63" si="65">if($D63&lt;15000,$D63*12/100,15000*12/100)</f>
        <v>1080</v>
      </c>
      <c r="F63" s="7">
        <f t="shared" si="65"/>
        <v>1080</v>
      </c>
      <c r="G63" s="7">
        <f t="shared" si="4"/>
        <v>2160</v>
      </c>
    </row>
    <row r="64">
      <c r="A64" s="9" t="s">
        <v>34</v>
      </c>
      <c r="B64" s="10"/>
      <c r="C64" s="11">
        <f t="shared" ref="C64:G64" si="66">sum(C2:C63)</f>
        <v>1376017</v>
      </c>
      <c r="D64" s="11">
        <f t="shared" si="66"/>
        <v>825610.2</v>
      </c>
      <c r="E64" s="11">
        <f t="shared" si="66"/>
        <v>85961.088</v>
      </c>
      <c r="F64" s="11">
        <f t="shared" si="66"/>
        <v>85961.088</v>
      </c>
      <c r="G64" s="11">
        <f t="shared" si="66"/>
        <v>171922.176</v>
      </c>
    </row>
  </sheetData>
  <mergeCells count="1">
    <mergeCell ref="A64:B64"/>
  </mergeCells>
  <hyperlinks>
    <hyperlink r:id="rId1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100</v>
      </c>
      <c r="C2" s="7">
        <v>75000.0</v>
      </c>
      <c r="D2" s="7">
        <f t="shared" ref="D2:D72" si="2">C2*60/100</f>
        <v>45000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72" si="4">E2+F2</f>
        <v>3600</v>
      </c>
    </row>
    <row r="3">
      <c r="A3" s="8">
        <f t="shared" ref="A3:A72" si="5">A2+1</f>
        <v>2</v>
      </c>
      <c r="B3" s="17" t="s">
        <v>101</v>
      </c>
      <c r="C3" s="7">
        <v>55000.0</v>
      </c>
      <c r="D3" s="7">
        <f t="shared" si="2"/>
        <v>33000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102</v>
      </c>
      <c r="C4" s="7">
        <v>65000.0</v>
      </c>
      <c r="D4" s="7">
        <f t="shared" si="2"/>
        <v>39000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17" t="s">
        <v>103</v>
      </c>
      <c r="C5" s="7">
        <v>23000.0</v>
      </c>
      <c r="D5" s="7">
        <f t="shared" si="2"/>
        <v>13800</v>
      </c>
      <c r="E5" s="7">
        <f t="shared" ref="E5:F5" si="7">if($D5&lt;15000,$D5*12/100,15000*12/100)</f>
        <v>1656</v>
      </c>
      <c r="F5" s="7">
        <f t="shared" si="7"/>
        <v>1656</v>
      </c>
      <c r="G5" s="7">
        <f t="shared" si="4"/>
        <v>3312</v>
      </c>
    </row>
    <row r="6">
      <c r="A6" s="8">
        <f t="shared" si="5"/>
        <v>5</v>
      </c>
      <c r="B6" s="17" t="s">
        <v>104</v>
      </c>
      <c r="C6" s="7">
        <v>33000.0</v>
      </c>
      <c r="D6" s="7">
        <f t="shared" si="2"/>
        <v>19800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105</v>
      </c>
      <c r="C7" s="7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17" t="s">
        <v>106</v>
      </c>
      <c r="C8" s="7">
        <v>23000.0</v>
      </c>
      <c r="D8" s="7">
        <f t="shared" si="2"/>
        <v>13800</v>
      </c>
      <c r="E8" s="7">
        <f t="shared" ref="E8:F8" si="10">if($D8&lt;15000,$D8*12/100,15000*12/100)</f>
        <v>1656</v>
      </c>
      <c r="F8" s="7">
        <f t="shared" si="10"/>
        <v>1656</v>
      </c>
      <c r="G8" s="7">
        <f t="shared" si="4"/>
        <v>3312</v>
      </c>
    </row>
    <row r="9">
      <c r="A9" s="8">
        <f t="shared" si="5"/>
        <v>8</v>
      </c>
      <c r="B9" s="17" t="s">
        <v>107</v>
      </c>
      <c r="C9" s="7">
        <v>21000.0</v>
      </c>
      <c r="D9" s="7">
        <f t="shared" si="2"/>
        <v>12600</v>
      </c>
      <c r="E9" s="7">
        <f t="shared" ref="E9:F9" si="11">if($D9&lt;15000,$D9*12/100,15000*12/100)</f>
        <v>1512</v>
      </c>
      <c r="F9" s="7">
        <f t="shared" si="11"/>
        <v>1512</v>
      </c>
      <c r="G9" s="7">
        <f t="shared" si="4"/>
        <v>3024</v>
      </c>
    </row>
    <row r="10">
      <c r="A10" s="8">
        <f t="shared" si="5"/>
        <v>9</v>
      </c>
      <c r="B10" s="17" t="s">
        <v>108</v>
      </c>
      <c r="C10" s="7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17" t="s">
        <v>109</v>
      </c>
      <c r="C11" s="7">
        <v>21000.0</v>
      </c>
      <c r="D11" s="7">
        <f t="shared" si="2"/>
        <v>12600</v>
      </c>
      <c r="E11" s="7">
        <f t="shared" ref="E11:F11" si="13">if($D11&lt;15000,$D11*12/100,15000*12/100)</f>
        <v>1512</v>
      </c>
      <c r="F11" s="7">
        <f t="shared" si="13"/>
        <v>1512</v>
      </c>
      <c r="G11" s="7">
        <f t="shared" si="4"/>
        <v>3024</v>
      </c>
    </row>
    <row r="12">
      <c r="A12" s="8">
        <f t="shared" si="5"/>
        <v>11</v>
      </c>
      <c r="B12" s="17" t="s">
        <v>110</v>
      </c>
      <c r="C12" s="7">
        <v>20000.0</v>
      </c>
      <c r="D12" s="7">
        <f t="shared" si="2"/>
        <v>12000</v>
      </c>
      <c r="E12" s="7">
        <f t="shared" ref="E12:F12" si="14">if($D12&lt;15000,$D12*12/100,15000*12/100)</f>
        <v>1440</v>
      </c>
      <c r="F12" s="7">
        <f t="shared" si="14"/>
        <v>1440</v>
      </c>
      <c r="G12" s="7">
        <f t="shared" si="4"/>
        <v>2880</v>
      </c>
    </row>
    <row r="13">
      <c r="A13" s="8">
        <f t="shared" si="5"/>
        <v>12</v>
      </c>
      <c r="B13" s="17" t="s">
        <v>111</v>
      </c>
      <c r="C13" s="7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112</v>
      </c>
      <c r="C14" s="7">
        <v>36000.0</v>
      </c>
      <c r="D14" s="7">
        <f t="shared" si="2"/>
        <v>21600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17" t="s">
        <v>114</v>
      </c>
      <c r="C15" s="7">
        <v>28000.0</v>
      </c>
      <c r="D15" s="7">
        <f t="shared" si="2"/>
        <v>16800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17" t="s">
        <v>115</v>
      </c>
      <c r="C16" s="7">
        <v>9000.0</v>
      </c>
      <c r="D16" s="7">
        <f t="shared" si="2"/>
        <v>5400</v>
      </c>
      <c r="E16" s="7">
        <f t="shared" ref="E16:F16" si="18">if($D16&lt;15000,$D16*12/100,15000*12/100)</f>
        <v>648</v>
      </c>
      <c r="F16" s="7">
        <f t="shared" si="18"/>
        <v>648</v>
      </c>
      <c r="G16" s="7">
        <f t="shared" si="4"/>
        <v>1296</v>
      </c>
    </row>
    <row r="17">
      <c r="A17" s="8">
        <f t="shared" si="5"/>
        <v>16</v>
      </c>
      <c r="B17" s="17" t="s">
        <v>116</v>
      </c>
      <c r="C17" s="7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17" t="s">
        <v>117</v>
      </c>
      <c r="C18" s="7">
        <v>17000.0</v>
      </c>
      <c r="D18" s="7">
        <f t="shared" si="2"/>
        <v>10200</v>
      </c>
      <c r="E18" s="7">
        <f t="shared" ref="E18:F18" si="20">if($D18&lt;15000,$D18*12/100,15000*12/100)</f>
        <v>1224</v>
      </c>
      <c r="F18" s="7">
        <f t="shared" si="20"/>
        <v>1224</v>
      </c>
      <c r="G18" s="7">
        <f t="shared" si="4"/>
        <v>2448</v>
      </c>
    </row>
    <row r="19">
      <c r="A19" s="8">
        <f t="shared" si="5"/>
        <v>18</v>
      </c>
      <c r="B19" s="17" t="s">
        <v>118</v>
      </c>
      <c r="C19" s="7">
        <v>24167.0</v>
      </c>
      <c r="D19" s="7">
        <f t="shared" si="2"/>
        <v>14500.2</v>
      </c>
      <c r="E19" s="7">
        <f t="shared" ref="E19:F19" si="21">if($D19&lt;15000,$D19*12/100,15000*12/100)</f>
        <v>1740.024</v>
      </c>
      <c r="F19" s="7">
        <f t="shared" si="21"/>
        <v>1740.024</v>
      </c>
      <c r="G19" s="7">
        <f t="shared" si="4"/>
        <v>3480.048</v>
      </c>
    </row>
    <row r="20">
      <c r="A20" s="8">
        <f t="shared" si="5"/>
        <v>19</v>
      </c>
      <c r="B20" s="17" t="s">
        <v>119</v>
      </c>
      <c r="C20" s="7">
        <v>25000.0</v>
      </c>
      <c r="D20" s="7">
        <f t="shared" si="2"/>
        <v>15000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17" t="s">
        <v>120</v>
      </c>
      <c r="C21" s="7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17" t="s">
        <v>121</v>
      </c>
      <c r="C22" s="7">
        <v>16000.0</v>
      </c>
      <c r="D22" s="7">
        <f t="shared" si="2"/>
        <v>9600</v>
      </c>
      <c r="E22" s="7">
        <f t="shared" ref="E22:F22" si="24">if($D22&lt;15000,$D22*12/100,15000*12/100)</f>
        <v>1152</v>
      </c>
      <c r="F22" s="7">
        <f t="shared" si="24"/>
        <v>1152</v>
      </c>
      <c r="G22" s="7">
        <f t="shared" si="4"/>
        <v>2304</v>
      </c>
    </row>
    <row r="23">
      <c r="A23" s="8">
        <f t="shared" si="5"/>
        <v>22</v>
      </c>
      <c r="B23" s="17" t="s">
        <v>122</v>
      </c>
      <c r="C23" s="7">
        <v>16000.0</v>
      </c>
      <c r="D23" s="7">
        <f t="shared" si="2"/>
        <v>9600</v>
      </c>
      <c r="E23" s="7">
        <f t="shared" ref="E23:F23" si="25">if($D23&lt;15000,$D23*12/100,15000*12/100)</f>
        <v>1152</v>
      </c>
      <c r="F23" s="7">
        <f t="shared" si="25"/>
        <v>1152</v>
      </c>
      <c r="G23" s="7">
        <f t="shared" si="4"/>
        <v>2304</v>
      </c>
    </row>
    <row r="24">
      <c r="A24" s="8">
        <f t="shared" si="5"/>
        <v>23</v>
      </c>
      <c r="B24" s="17" t="s">
        <v>123</v>
      </c>
      <c r="C24" s="7">
        <v>8000.0</v>
      </c>
      <c r="D24" s="7">
        <f t="shared" si="2"/>
        <v>4800</v>
      </c>
      <c r="E24" s="7">
        <f t="shared" ref="E24:F24" si="26">if($D24&lt;15000,$D24*12/100,15000*12/100)</f>
        <v>576</v>
      </c>
      <c r="F24" s="7">
        <f t="shared" si="26"/>
        <v>576</v>
      </c>
      <c r="G24" s="7">
        <f t="shared" si="4"/>
        <v>1152</v>
      </c>
    </row>
    <row r="25">
      <c r="A25" s="8">
        <f t="shared" si="5"/>
        <v>24</v>
      </c>
      <c r="B25" s="17" t="s">
        <v>126</v>
      </c>
      <c r="C25" s="7">
        <v>25000.0</v>
      </c>
      <c r="D25" s="7">
        <f t="shared" si="2"/>
        <v>15000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17" t="s">
        <v>127</v>
      </c>
      <c r="C26" s="7">
        <v>21000.0</v>
      </c>
      <c r="D26" s="7">
        <f t="shared" si="2"/>
        <v>12600</v>
      </c>
      <c r="E26" s="7">
        <f t="shared" ref="E26:F26" si="28">if($D26&lt;15000,$D26*12/100,15000*12/100)</f>
        <v>1512</v>
      </c>
      <c r="F26" s="7">
        <f t="shared" si="28"/>
        <v>1512</v>
      </c>
      <c r="G26" s="7">
        <f t="shared" si="4"/>
        <v>3024</v>
      </c>
    </row>
    <row r="27">
      <c r="A27" s="8">
        <f t="shared" si="5"/>
        <v>26</v>
      </c>
      <c r="B27" s="17" t="s">
        <v>128</v>
      </c>
      <c r="C27" s="7">
        <v>6000.0</v>
      </c>
      <c r="D27" s="7">
        <f t="shared" si="2"/>
        <v>3600</v>
      </c>
      <c r="E27" s="7">
        <f t="shared" ref="E27:F27" si="29">if($D27&lt;15000,$D27*12/100,15000*12/100)</f>
        <v>432</v>
      </c>
      <c r="F27" s="7">
        <f t="shared" si="29"/>
        <v>432</v>
      </c>
      <c r="G27" s="7">
        <f t="shared" si="4"/>
        <v>864</v>
      </c>
    </row>
    <row r="28">
      <c r="A28" s="8">
        <f t="shared" si="5"/>
        <v>27</v>
      </c>
      <c r="B28" s="17" t="s">
        <v>129</v>
      </c>
      <c r="C28" s="7">
        <v>16433.0</v>
      </c>
      <c r="D28" s="7">
        <f t="shared" si="2"/>
        <v>9859.8</v>
      </c>
      <c r="E28" s="7">
        <f t="shared" ref="E28:F28" si="30">if($D28&lt;15000,$D28*12/100,15000*12/100)</f>
        <v>1183.176</v>
      </c>
      <c r="F28" s="7">
        <f t="shared" si="30"/>
        <v>1183.176</v>
      </c>
      <c r="G28" s="7">
        <f t="shared" si="4"/>
        <v>2366.352</v>
      </c>
    </row>
    <row r="29">
      <c r="A29" s="8">
        <f t="shared" si="5"/>
        <v>28</v>
      </c>
      <c r="B29" s="17" t="s">
        <v>130</v>
      </c>
      <c r="C29" s="7">
        <v>16000.0</v>
      </c>
      <c r="D29" s="7">
        <f t="shared" si="2"/>
        <v>9600</v>
      </c>
      <c r="E29" s="7">
        <f t="shared" ref="E29:F29" si="31">if($D29&lt;15000,$D29*12/100,15000*12/100)</f>
        <v>1152</v>
      </c>
      <c r="F29" s="7">
        <f t="shared" si="31"/>
        <v>1152</v>
      </c>
      <c r="G29" s="7">
        <f t="shared" si="4"/>
        <v>2304</v>
      </c>
    </row>
    <row r="30">
      <c r="A30" s="8">
        <f t="shared" si="5"/>
        <v>29</v>
      </c>
      <c r="B30" s="17" t="s">
        <v>131</v>
      </c>
      <c r="C30" s="7">
        <v>16000.0</v>
      </c>
      <c r="D30" s="7">
        <f t="shared" si="2"/>
        <v>9600</v>
      </c>
      <c r="E30" s="7">
        <f t="shared" ref="E30:F30" si="32">if($D30&lt;15000,$D30*12/100,15000*12/100)</f>
        <v>1152</v>
      </c>
      <c r="F30" s="7">
        <f t="shared" si="32"/>
        <v>1152</v>
      </c>
      <c r="G30" s="7">
        <f t="shared" si="4"/>
        <v>2304</v>
      </c>
    </row>
    <row r="31">
      <c r="A31" s="8">
        <f t="shared" si="5"/>
        <v>30</v>
      </c>
      <c r="B31" s="17" t="s">
        <v>132</v>
      </c>
      <c r="C31" s="7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</row>
    <row r="32">
      <c r="A32" s="8">
        <f t="shared" si="5"/>
        <v>31</v>
      </c>
      <c r="B32" s="17" t="s">
        <v>134</v>
      </c>
      <c r="C32" s="7">
        <v>12000.0</v>
      </c>
      <c r="D32" s="7">
        <f t="shared" si="2"/>
        <v>7200</v>
      </c>
      <c r="E32" s="7">
        <f t="shared" ref="E32:F32" si="34">if($D32&lt;15000,$D32*12/100,15000*12/100)</f>
        <v>864</v>
      </c>
      <c r="F32" s="7">
        <f t="shared" si="34"/>
        <v>864</v>
      </c>
      <c r="G32" s="7">
        <f t="shared" si="4"/>
        <v>1728</v>
      </c>
    </row>
    <row r="33">
      <c r="A33" s="8">
        <f t="shared" si="5"/>
        <v>32</v>
      </c>
      <c r="B33" s="17" t="s">
        <v>135</v>
      </c>
      <c r="C33" s="7">
        <v>24167.0</v>
      </c>
      <c r="D33" s="7">
        <f t="shared" si="2"/>
        <v>14500.2</v>
      </c>
      <c r="E33" s="7">
        <f t="shared" ref="E33:F33" si="35">if($D33&lt;15000,$D33*12/100,15000*12/100)</f>
        <v>1740.024</v>
      </c>
      <c r="F33" s="7">
        <f t="shared" si="35"/>
        <v>1740.024</v>
      </c>
      <c r="G33" s="7">
        <f t="shared" si="4"/>
        <v>3480.048</v>
      </c>
    </row>
    <row r="34">
      <c r="A34" s="8">
        <f t="shared" si="5"/>
        <v>33</v>
      </c>
      <c r="B34" s="18" t="s">
        <v>136</v>
      </c>
      <c r="C34" s="7">
        <v>35000.0</v>
      </c>
      <c r="D34" s="7">
        <f t="shared" si="2"/>
        <v>21000</v>
      </c>
      <c r="E34" s="7">
        <f t="shared" ref="E34:F34" si="36">if($D34&lt;15000,$D34*12/100,15000*12/100)</f>
        <v>1800</v>
      </c>
      <c r="F34" s="7">
        <f t="shared" si="36"/>
        <v>1800</v>
      </c>
      <c r="G34" s="7">
        <f t="shared" si="4"/>
        <v>3600</v>
      </c>
    </row>
    <row r="35">
      <c r="A35" s="8">
        <f t="shared" si="5"/>
        <v>34</v>
      </c>
      <c r="B35" s="18" t="s">
        <v>137</v>
      </c>
      <c r="C35" s="7">
        <v>32000.0</v>
      </c>
      <c r="D35" s="7">
        <f t="shared" si="2"/>
        <v>19200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18" t="s">
        <v>138</v>
      </c>
      <c r="C36" s="7">
        <v>25000.0</v>
      </c>
      <c r="D36" s="7">
        <f t="shared" si="2"/>
        <v>15000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18" t="s">
        <v>139</v>
      </c>
      <c r="C37" s="19">
        <v>20000.0</v>
      </c>
      <c r="D37" s="7">
        <f t="shared" si="2"/>
        <v>12000</v>
      </c>
      <c r="E37" s="7">
        <f t="shared" ref="E37:F37" si="39">if($D37&lt;15000,$D37*12/100,15000*12/100)</f>
        <v>1440</v>
      </c>
      <c r="F37" s="7">
        <f t="shared" si="39"/>
        <v>1440</v>
      </c>
      <c r="G37" s="7">
        <f t="shared" si="4"/>
        <v>2880</v>
      </c>
    </row>
    <row r="38">
      <c r="A38" s="8">
        <f t="shared" si="5"/>
        <v>37</v>
      </c>
      <c r="B38" s="16" t="s">
        <v>140</v>
      </c>
      <c r="C38" s="19">
        <v>20000.0</v>
      </c>
      <c r="D38" s="7">
        <f t="shared" si="2"/>
        <v>12000</v>
      </c>
      <c r="E38" s="7">
        <f t="shared" ref="E38:F38" si="40">if($D38&lt;15000,$D38*12/100,15000*12/100)</f>
        <v>1440</v>
      </c>
      <c r="F38" s="7">
        <f t="shared" si="40"/>
        <v>1440</v>
      </c>
      <c r="G38" s="7">
        <f t="shared" si="4"/>
        <v>2880</v>
      </c>
    </row>
    <row r="39">
      <c r="A39" s="8">
        <f t="shared" si="5"/>
        <v>38</v>
      </c>
      <c r="B39" s="16" t="s">
        <v>152</v>
      </c>
      <c r="C39" s="19">
        <v>8000.0</v>
      </c>
      <c r="D39" s="7">
        <f t="shared" si="2"/>
        <v>4800</v>
      </c>
      <c r="E39" s="7">
        <f t="shared" ref="E39:F39" si="41">if($D39&lt;15000,$D39*12/100,15000*12/100)</f>
        <v>576</v>
      </c>
      <c r="F39" s="7">
        <f t="shared" si="41"/>
        <v>576</v>
      </c>
      <c r="G39" s="7">
        <f t="shared" si="4"/>
        <v>1152</v>
      </c>
    </row>
    <row r="40">
      <c r="A40" s="8">
        <f t="shared" si="5"/>
        <v>39</v>
      </c>
      <c r="B40" s="16" t="s">
        <v>142</v>
      </c>
      <c r="C40" s="19">
        <v>22000.0</v>
      </c>
      <c r="D40" s="7">
        <f t="shared" si="2"/>
        <v>13200</v>
      </c>
      <c r="E40" s="7">
        <f t="shared" ref="E40:F40" si="42">if($D40&lt;15000,$D40*12/100,15000*12/100)</f>
        <v>1584</v>
      </c>
      <c r="F40" s="7">
        <f t="shared" si="42"/>
        <v>1584</v>
      </c>
      <c r="G40" s="7">
        <f t="shared" si="4"/>
        <v>3168</v>
      </c>
    </row>
    <row r="41">
      <c r="A41" s="8">
        <f t="shared" si="5"/>
        <v>40</v>
      </c>
      <c r="B41" s="16" t="s">
        <v>143</v>
      </c>
      <c r="C41" s="19">
        <v>17000.0</v>
      </c>
      <c r="D41" s="7">
        <f t="shared" si="2"/>
        <v>10200</v>
      </c>
      <c r="E41" s="7">
        <f t="shared" ref="E41:F41" si="43">if($D41&lt;15000,$D41*12/100,15000*12/100)</f>
        <v>1224</v>
      </c>
      <c r="F41" s="7">
        <f t="shared" si="43"/>
        <v>1224</v>
      </c>
      <c r="G41" s="7">
        <f t="shared" si="4"/>
        <v>2448</v>
      </c>
    </row>
    <row r="42">
      <c r="A42" s="8">
        <f t="shared" si="5"/>
        <v>41</v>
      </c>
      <c r="B42" s="16" t="s">
        <v>145</v>
      </c>
      <c r="C42" s="19">
        <v>35000.0</v>
      </c>
      <c r="D42" s="7">
        <f t="shared" si="2"/>
        <v>21000</v>
      </c>
      <c r="E42" s="7">
        <f t="shared" ref="E42:F42" si="44">if($D42&lt;15000,$D42*12/100,15000*12/100)</f>
        <v>1800</v>
      </c>
      <c r="F42" s="7">
        <f t="shared" si="44"/>
        <v>1800</v>
      </c>
      <c r="G42" s="7">
        <f t="shared" si="4"/>
        <v>3600</v>
      </c>
    </row>
    <row r="43">
      <c r="A43" s="8">
        <f t="shared" si="5"/>
        <v>42</v>
      </c>
      <c r="B43" s="16" t="s">
        <v>148</v>
      </c>
      <c r="C43" s="19">
        <v>23000.0</v>
      </c>
      <c r="D43" s="7">
        <f t="shared" si="2"/>
        <v>13800</v>
      </c>
      <c r="E43" s="7">
        <f t="shared" ref="E43:F43" si="45">if($D43&lt;15000,$D43*12/100,15000*12/100)</f>
        <v>1656</v>
      </c>
      <c r="F43" s="7">
        <f t="shared" si="45"/>
        <v>1656</v>
      </c>
      <c r="G43" s="7">
        <f t="shared" si="4"/>
        <v>3312</v>
      </c>
    </row>
    <row r="44">
      <c r="A44" s="8">
        <f t="shared" si="5"/>
        <v>43</v>
      </c>
      <c r="B44" s="16" t="s">
        <v>149</v>
      </c>
      <c r="C44" s="19">
        <v>23000.0</v>
      </c>
      <c r="D44" s="7">
        <f t="shared" si="2"/>
        <v>13800</v>
      </c>
      <c r="E44" s="7">
        <f t="shared" ref="E44:F44" si="46">if($D44&lt;15000,$D44*12/100,15000*12/100)</f>
        <v>1656</v>
      </c>
      <c r="F44" s="7">
        <f t="shared" si="46"/>
        <v>1656</v>
      </c>
      <c r="G44" s="7">
        <f t="shared" si="4"/>
        <v>3312</v>
      </c>
    </row>
    <row r="45">
      <c r="A45" s="8">
        <f t="shared" si="5"/>
        <v>44</v>
      </c>
      <c r="B45" s="16" t="s">
        <v>150</v>
      </c>
      <c r="C45" s="19">
        <v>18000.0</v>
      </c>
      <c r="D45" s="7">
        <f t="shared" si="2"/>
        <v>10800</v>
      </c>
      <c r="E45" s="7">
        <f t="shared" ref="E45:F45" si="47">if($D45&lt;15000,$D45*12/100,15000*12/100)</f>
        <v>1296</v>
      </c>
      <c r="F45" s="7">
        <f t="shared" si="47"/>
        <v>1296</v>
      </c>
      <c r="G45" s="7">
        <f t="shared" si="4"/>
        <v>2592</v>
      </c>
    </row>
    <row r="46">
      <c r="A46" s="8">
        <f t="shared" si="5"/>
        <v>45</v>
      </c>
      <c r="B46" s="16" t="s">
        <v>151</v>
      </c>
      <c r="C46" s="19">
        <v>21000.0</v>
      </c>
      <c r="D46" s="7">
        <f t="shared" si="2"/>
        <v>12600</v>
      </c>
      <c r="E46" s="7">
        <f t="shared" ref="E46:F46" si="48">if($D46&lt;15000,$D46*12/100,15000*12/100)</f>
        <v>1512</v>
      </c>
      <c r="F46" s="7">
        <f t="shared" si="48"/>
        <v>1512</v>
      </c>
      <c r="G46" s="7">
        <f t="shared" si="4"/>
        <v>3024</v>
      </c>
    </row>
    <row r="47">
      <c r="A47" s="8">
        <f t="shared" si="5"/>
        <v>46</v>
      </c>
      <c r="B47" s="16" t="s">
        <v>162</v>
      </c>
      <c r="C47" s="19">
        <v>22000.0</v>
      </c>
      <c r="D47" s="7">
        <f t="shared" si="2"/>
        <v>13200</v>
      </c>
      <c r="E47" s="7">
        <f t="shared" ref="E47:F47" si="49">if($D47&lt;15000,$D47*12/100,15000*12/100)</f>
        <v>1584</v>
      </c>
      <c r="F47" s="7">
        <f t="shared" si="49"/>
        <v>1584</v>
      </c>
      <c r="G47" s="7">
        <f t="shared" si="4"/>
        <v>3168</v>
      </c>
    </row>
    <row r="48">
      <c r="A48" s="8">
        <f t="shared" si="5"/>
        <v>47</v>
      </c>
      <c r="B48" s="16" t="s">
        <v>163</v>
      </c>
      <c r="C48" s="19">
        <v>8000.0</v>
      </c>
      <c r="D48" s="7">
        <f t="shared" si="2"/>
        <v>4800</v>
      </c>
      <c r="E48" s="7">
        <f t="shared" ref="E48:F48" si="50">if($D48&lt;15000,$D48*12/100,15000*12/100)</f>
        <v>576</v>
      </c>
      <c r="F48" s="7">
        <f t="shared" si="50"/>
        <v>576</v>
      </c>
      <c r="G48" s="7">
        <f t="shared" si="4"/>
        <v>1152</v>
      </c>
    </row>
    <row r="49">
      <c r="A49" s="8">
        <f t="shared" si="5"/>
        <v>48</v>
      </c>
      <c r="B49" s="16" t="s">
        <v>164</v>
      </c>
      <c r="C49" s="19">
        <v>20000.0</v>
      </c>
      <c r="D49" s="7">
        <f t="shared" si="2"/>
        <v>12000</v>
      </c>
      <c r="E49" s="7">
        <f t="shared" ref="E49:F49" si="51">if($D49&lt;15000,$D49*12/100,15000*12/100)</f>
        <v>1440</v>
      </c>
      <c r="F49" s="7">
        <f t="shared" si="51"/>
        <v>1440</v>
      </c>
      <c r="G49" s="7">
        <f t="shared" si="4"/>
        <v>2880</v>
      </c>
    </row>
    <row r="50">
      <c r="A50" s="8">
        <f t="shared" si="5"/>
        <v>49</v>
      </c>
      <c r="B50" s="16" t="s">
        <v>165</v>
      </c>
      <c r="C50" s="19">
        <v>20000.0</v>
      </c>
      <c r="D50" s="7">
        <f t="shared" si="2"/>
        <v>12000</v>
      </c>
      <c r="E50" s="7">
        <f t="shared" ref="E50:F50" si="52">if($D50&lt;15000,$D50*12/100,15000*12/100)</f>
        <v>1440</v>
      </c>
      <c r="F50" s="7">
        <f t="shared" si="52"/>
        <v>1440</v>
      </c>
      <c r="G50" s="7">
        <f t="shared" si="4"/>
        <v>2880</v>
      </c>
    </row>
    <row r="51">
      <c r="A51" s="8">
        <f t="shared" si="5"/>
        <v>50</v>
      </c>
      <c r="B51" s="16" t="s">
        <v>166</v>
      </c>
      <c r="C51" s="19">
        <v>17000.0</v>
      </c>
      <c r="D51" s="7">
        <f t="shared" si="2"/>
        <v>10200</v>
      </c>
      <c r="E51" s="7">
        <f t="shared" ref="E51:F51" si="53">if($D51&lt;15000,$D51*12/100,15000*12/100)</f>
        <v>1224</v>
      </c>
      <c r="F51" s="7">
        <f t="shared" si="53"/>
        <v>1224</v>
      </c>
      <c r="G51" s="7">
        <f t="shared" si="4"/>
        <v>2448</v>
      </c>
    </row>
    <row r="52">
      <c r="A52" s="8">
        <f t="shared" si="5"/>
        <v>51</v>
      </c>
      <c r="B52" s="16" t="s">
        <v>169</v>
      </c>
      <c r="C52" s="19">
        <v>18667.0</v>
      </c>
      <c r="D52" s="7">
        <f t="shared" si="2"/>
        <v>11200.2</v>
      </c>
      <c r="E52" s="7">
        <f t="shared" ref="E52:F52" si="54">if($D52&lt;15000,$D52*12/100,15000*12/100)</f>
        <v>1344.024</v>
      </c>
      <c r="F52" s="7">
        <f t="shared" si="54"/>
        <v>1344.024</v>
      </c>
      <c r="G52" s="7">
        <f t="shared" si="4"/>
        <v>2688.048</v>
      </c>
    </row>
    <row r="53">
      <c r="A53" s="8">
        <f t="shared" si="5"/>
        <v>52</v>
      </c>
      <c r="B53" s="16" t="s">
        <v>170</v>
      </c>
      <c r="C53" s="19">
        <v>15000.0</v>
      </c>
      <c r="D53" s="7">
        <f t="shared" si="2"/>
        <v>9000</v>
      </c>
      <c r="E53" s="7">
        <f t="shared" ref="E53:F53" si="55">if($D53&lt;15000,$D53*12/100,15000*12/100)</f>
        <v>1080</v>
      </c>
      <c r="F53" s="7">
        <f t="shared" si="55"/>
        <v>1080</v>
      </c>
      <c r="G53" s="7">
        <f t="shared" si="4"/>
        <v>2160</v>
      </c>
    </row>
    <row r="54">
      <c r="A54" s="8">
        <f t="shared" si="5"/>
        <v>53</v>
      </c>
      <c r="B54" s="16" t="s">
        <v>171</v>
      </c>
      <c r="C54" s="19">
        <v>75000.0</v>
      </c>
      <c r="D54" s="7">
        <f t="shared" si="2"/>
        <v>45000</v>
      </c>
      <c r="E54" s="7">
        <f t="shared" ref="E54:F54" si="56">if($D54&lt;15000,$D54*12/100,15000*12/100)</f>
        <v>1800</v>
      </c>
      <c r="F54" s="7">
        <f t="shared" si="56"/>
        <v>1800</v>
      </c>
      <c r="G54" s="7">
        <f t="shared" si="4"/>
        <v>3600</v>
      </c>
    </row>
    <row r="55">
      <c r="A55" s="8">
        <f t="shared" si="5"/>
        <v>54</v>
      </c>
      <c r="B55" s="16" t="s">
        <v>172</v>
      </c>
      <c r="C55" s="19">
        <v>75000.0</v>
      </c>
      <c r="D55" s="7">
        <f t="shared" si="2"/>
        <v>45000</v>
      </c>
      <c r="E55" s="7">
        <f t="shared" ref="E55:F55" si="57">if($D55&lt;15000,$D55*12/100,15000*12/100)</f>
        <v>1800</v>
      </c>
      <c r="F55" s="7">
        <f t="shared" si="57"/>
        <v>1800</v>
      </c>
      <c r="G55" s="7">
        <f t="shared" si="4"/>
        <v>3600</v>
      </c>
    </row>
    <row r="56">
      <c r="A56" s="8">
        <f t="shared" si="5"/>
        <v>55</v>
      </c>
      <c r="B56" s="16" t="s">
        <v>173</v>
      </c>
      <c r="C56" s="19">
        <v>64167.0</v>
      </c>
      <c r="D56" s="7">
        <f t="shared" si="2"/>
        <v>38500.2</v>
      </c>
      <c r="E56" s="7">
        <f t="shared" ref="E56:F56" si="58">if($D56&lt;15000,$D56*12/100,15000*12/100)</f>
        <v>1800</v>
      </c>
      <c r="F56" s="7">
        <f t="shared" si="58"/>
        <v>1800</v>
      </c>
      <c r="G56" s="7">
        <f t="shared" si="4"/>
        <v>3600</v>
      </c>
    </row>
    <row r="57">
      <c r="A57" s="8">
        <f t="shared" si="5"/>
        <v>56</v>
      </c>
      <c r="B57" s="16" t="s">
        <v>174</v>
      </c>
      <c r="C57" s="19">
        <v>57600.0</v>
      </c>
      <c r="D57" s="7">
        <f t="shared" si="2"/>
        <v>34560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16" t="s">
        <v>175</v>
      </c>
      <c r="C58" s="19">
        <v>19667.0</v>
      </c>
      <c r="D58" s="7">
        <f t="shared" si="2"/>
        <v>11800.2</v>
      </c>
      <c r="E58" s="7">
        <f t="shared" ref="E58:F58" si="60">if($D58&lt;15000,$D58*12/100,15000*12/100)</f>
        <v>1416.024</v>
      </c>
      <c r="F58" s="7">
        <f t="shared" si="60"/>
        <v>1416.024</v>
      </c>
      <c r="G58" s="7">
        <f t="shared" si="4"/>
        <v>2832.048</v>
      </c>
    </row>
    <row r="59">
      <c r="A59" s="8">
        <f t="shared" si="5"/>
        <v>58</v>
      </c>
      <c r="B59" s="16" t="s">
        <v>176</v>
      </c>
      <c r="C59" s="7">
        <v>17700.0</v>
      </c>
      <c r="D59" s="7">
        <f t="shared" si="2"/>
        <v>10620</v>
      </c>
      <c r="E59" s="7">
        <f t="shared" ref="E59:F59" si="61">if($D59&lt;15000,$D59*12/100,15000*12/100)</f>
        <v>1274.4</v>
      </c>
      <c r="F59" s="7">
        <f t="shared" si="61"/>
        <v>1274.4</v>
      </c>
      <c r="G59" s="7">
        <f t="shared" si="4"/>
        <v>2548.8</v>
      </c>
    </row>
    <row r="60">
      <c r="A60" s="8">
        <f t="shared" si="5"/>
        <v>59</v>
      </c>
      <c r="B60" s="16" t="s">
        <v>177</v>
      </c>
      <c r="C60" s="7">
        <v>19167.0</v>
      </c>
      <c r="D60" s="7">
        <f t="shared" si="2"/>
        <v>11500.2</v>
      </c>
      <c r="E60" s="7">
        <f t="shared" ref="E60:F60" si="62">if($D60&lt;15000,$D60*12/100,15000*12/100)</f>
        <v>1380.024</v>
      </c>
      <c r="F60" s="7">
        <f t="shared" si="62"/>
        <v>1380.024</v>
      </c>
      <c r="G60" s="7">
        <f t="shared" si="4"/>
        <v>2760.048</v>
      </c>
    </row>
    <row r="61">
      <c r="A61" s="8">
        <f t="shared" si="5"/>
        <v>60</v>
      </c>
      <c r="B61" s="16" t="s">
        <v>178</v>
      </c>
      <c r="C61" s="7">
        <v>19000.0</v>
      </c>
      <c r="D61" s="7">
        <f t="shared" si="2"/>
        <v>11400</v>
      </c>
      <c r="E61" s="7">
        <f t="shared" ref="E61:F61" si="63">if($D61&lt;15000,$D61*12/100,15000*12/100)</f>
        <v>1368</v>
      </c>
      <c r="F61" s="7">
        <f t="shared" si="63"/>
        <v>1368</v>
      </c>
      <c r="G61" s="7">
        <f t="shared" si="4"/>
        <v>2736</v>
      </c>
    </row>
    <row r="62">
      <c r="A62" s="8">
        <f t="shared" si="5"/>
        <v>61</v>
      </c>
      <c r="B62" s="16" t="s">
        <v>179</v>
      </c>
      <c r="C62" s="7">
        <v>5333.0</v>
      </c>
      <c r="D62" s="7">
        <f t="shared" si="2"/>
        <v>3199.8</v>
      </c>
      <c r="E62" s="7">
        <f t="shared" ref="E62:F62" si="64">if($D62&lt;15000,$D62*12/100,15000*12/100)</f>
        <v>383.976</v>
      </c>
      <c r="F62" s="7">
        <f t="shared" si="64"/>
        <v>383.976</v>
      </c>
      <c r="G62" s="7">
        <f t="shared" si="4"/>
        <v>767.952</v>
      </c>
    </row>
    <row r="63">
      <c r="A63" s="8">
        <f t="shared" si="5"/>
        <v>62</v>
      </c>
      <c r="B63" s="16" t="s">
        <v>180</v>
      </c>
      <c r="C63" s="7">
        <v>17000.0</v>
      </c>
      <c r="D63" s="7">
        <f t="shared" si="2"/>
        <v>10200</v>
      </c>
      <c r="E63" s="7">
        <f t="shared" ref="E63:F63" si="65">if($D63&lt;15000,$D63*12/100,15000*12/100)</f>
        <v>1224</v>
      </c>
      <c r="F63" s="7">
        <f t="shared" si="65"/>
        <v>1224</v>
      </c>
      <c r="G63" s="7">
        <f t="shared" si="4"/>
        <v>2448</v>
      </c>
    </row>
    <row r="64">
      <c r="A64" s="8">
        <f t="shared" si="5"/>
        <v>63</v>
      </c>
      <c r="B64" s="16" t="s">
        <v>181</v>
      </c>
      <c r="C64" s="7">
        <v>5133.0</v>
      </c>
      <c r="D64" s="7">
        <f t="shared" si="2"/>
        <v>3079.8</v>
      </c>
      <c r="E64" s="7">
        <f t="shared" ref="E64:F64" si="66">if($D64&lt;15000,$D64*12/100,15000*12/100)</f>
        <v>369.576</v>
      </c>
      <c r="F64" s="7">
        <f t="shared" si="66"/>
        <v>369.576</v>
      </c>
      <c r="G64" s="7">
        <f t="shared" si="4"/>
        <v>739.152</v>
      </c>
    </row>
    <row r="65">
      <c r="A65" s="8">
        <f t="shared" si="5"/>
        <v>64</v>
      </c>
      <c r="B65" s="16" t="s">
        <v>182</v>
      </c>
      <c r="C65" s="7">
        <v>3733.0</v>
      </c>
      <c r="D65" s="7">
        <f t="shared" si="2"/>
        <v>2239.8</v>
      </c>
      <c r="E65" s="7">
        <f t="shared" ref="E65:F65" si="67">if($D65&lt;15000,$D65*12/100,15000*12/100)</f>
        <v>268.776</v>
      </c>
      <c r="F65" s="7">
        <f t="shared" si="67"/>
        <v>268.776</v>
      </c>
      <c r="G65" s="7">
        <f t="shared" si="4"/>
        <v>537.552</v>
      </c>
    </row>
    <row r="66">
      <c r="A66" s="8">
        <f t="shared" si="5"/>
        <v>65</v>
      </c>
      <c r="B66" s="16" t="s">
        <v>154</v>
      </c>
      <c r="C66" s="7">
        <v>17000.0</v>
      </c>
      <c r="D66" s="7">
        <f t="shared" si="2"/>
        <v>10200</v>
      </c>
      <c r="E66" s="7">
        <f t="shared" ref="E66:F66" si="68">if($D66&lt;15000,$D66*12/100,15000*12/100)</f>
        <v>1224</v>
      </c>
      <c r="F66" s="7">
        <f t="shared" si="68"/>
        <v>1224</v>
      </c>
      <c r="G66" s="7">
        <f t="shared" si="4"/>
        <v>2448</v>
      </c>
    </row>
    <row r="67">
      <c r="A67" s="8">
        <f t="shared" si="5"/>
        <v>66</v>
      </c>
      <c r="B67" s="16" t="s">
        <v>155</v>
      </c>
      <c r="C67" s="7">
        <v>23000.0</v>
      </c>
      <c r="D67" s="7">
        <f t="shared" si="2"/>
        <v>13800</v>
      </c>
      <c r="E67" s="7">
        <f t="shared" ref="E67:F67" si="69">if($D67&lt;15000,$D67*12/100,15000*12/100)</f>
        <v>1656</v>
      </c>
      <c r="F67" s="7">
        <f t="shared" si="69"/>
        <v>1656</v>
      </c>
      <c r="G67" s="7">
        <f t="shared" si="4"/>
        <v>3312</v>
      </c>
    </row>
    <row r="68">
      <c r="A68" s="8">
        <f t="shared" si="5"/>
        <v>67</v>
      </c>
      <c r="B68" s="16" t="s">
        <v>156</v>
      </c>
      <c r="C68" s="7">
        <v>20000.0</v>
      </c>
      <c r="D68" s="7">
        <f t="shared" si="2"/>
        <v>12000</v>
      </c>
      <c r="E68" s="7">
        <f t="shared" ref="E68:F68" si="70">if($D68&lt;15000,$D68*12/100,15000*12/100)</f>
        <v>1440</v>
      </c>
      <c r="F68" s="7">
        <f t="shared" si="70"/>
        <v>1440</v>
      </c>
      <c r="G68" s="7">
        <f t="shared" si="4"/>
        <v>2880</v>
      </c>
    </row>
    <row r="69">
      <c r="A69" s="8">
        <f t="shared" si="5"/>
        <v>68</v>
      </c>
      <c r="B69" s="16" t="s">
        <v>157</v>
      </c>
      <c r="C69" s="7">
        <v>20000.0</v>
      </c>
      <c r="D69" s="7">
        <f t="shared" si="2"/>
        <v>12000</v>
      </c>
      <c r="E69" s="7">
        <f t="shared" ref="E69:F69" si="71">if($D69&lt;15000,$D69*12/100,15000*12/100)</f>
        <v>1440</v>
      </c>
      <c r="F69" s="7">
        <f t="shared" si="71"/>
        <v>1440</v>
      </c>
      <c r="G69" s="7">
        <f t="shared" si="4"/>
        <v>2880</v>
      </c>
    </row>
    <row r="70">
      <c r="A70" s="8">
        <f t="shared" si="5"/>
        <v>69</v>
      </c>
      <c r="B70" s="16" t="s">
        <v>160</v>
      </c>
      <c r="C70" s="7">
        <v>18683.0</v>
      </c>
      <c r="D70" s="7">
        <f t="shared" si="2"/>
        <v>11209.8</v>
      </c>
      <c r="E70" s="7">
        <f t="shared" ref="E70:F70" si="72">if($D70&lt;15000,$D70*12/100,15000*12/100)</f>
        <v>1345.176</v>
      </c>
      <c r="F70" s="7">
        <f t="shared" si="72"/>
        <v>1345.176</v>
      </c>
      <c r="G70" s="7">
        <f t="shared" si="4"/>
        <v>2690.352</v>
      </c>
    </row>
    <row r="71">
      <c r="A71" s="8">
        <f t="shared" si="5"/>
        <v>70</v>
      </c>
      <c r="B71" s="16" t="s">
        <v>161</v>
      </c>
      <c r="C71" s="7">
        <v>14000.0</v>
      </c>
      <c r="D71" s="7">
        <f t="shared" si="2"/>
        <v>8400</v>
      </c>
      <c r="E71" s="7">
        <f t="shared" ref="E71:F71" si="73">if($D71&lt;15000,$D71*12/100,15000*12/100)</f>
        <v>1008</v>
      </c>
      <c r="F71" s="7">
        <f t="shared" si="73"/>
        <v>1008</v>
      </c>
      <c r="G71" s="7">
        <f t="shared" si="4"/>
        <v>2016</v>
      </c>
    </row>
    <row r="72">
      <c r="A72" s="8">
        <f t="shared" si="5"/>
        <v>71</v>
      </c>
      <c r="B72" s="16" t="s">
        <v>167</v>
      </c>
      <c r="C72" s="7">
        <v>22233.0</v>
      </c>
      <c r="D72" s="7">
        <f t="shared" si="2"/>
        <v>13339.8</v>
      </c>
      <c r="E72" s="7">
        <f t="shared" ref="E72:F72" si="74">if($D72&lt;15000,$D72*12/100,15000*12/100)</f>
        <v>1600.776</v>
      </c>
      <c r="F72" s="7">
        <f t="shared" si="74"/>
        <v>1600.776</v>
      </c>
      <c r="G72" s="7">
        <f t="shared" si="4"/>
        <v>3201.552</v>
      </c>
    </row>
    <row r="73">
      <c r="A73" s="9" t="s">
        <v>34</v>
      </c>
      <c r="B73" s="10"/>
      <c r="C73" s="11">
        <f t="shared" ref="C73:G73" si="75">sum(C2:C72)</f>
        <v>1745850</v>
      </c>
      <c r="D73" s="11">
        <f t="shared" si="75"/>
        <v>1047510</v>
      </c>
      <c r="E73" s="11">
        <f t="shared" si="75"/>
        <v>100157.976</v>
      </c>
      <c r="F73" s="11">
        <f t="shared" si="75"/>
        <v>100157.976</v>
      </c>
      <c r="G73" s="11">
        <f t="shared" si="75"/>
        <v>200315.952</v>
      </c>
    </row>
  </sheetData>
  <mergeCells count="1">
    <mergeCell ref="A73:B73"/>
  </mergeCells>
  <hyperlinks>
    <hyperlink r:id="rId1" ref="A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17" t="s">
        <v>166</v>
      </c>
      <c r="C2" s="7">
        <v>15903.0</v>
      </c>
      <c r="D2" s="7">
        <f t="shared" ref="D2:D75" si="2">C2*60/100</f>
        <v>9541.8</v>
      </c>
      <c r="E2" s="7">
        <f t="shared" ref="E2:F2" si="1">if($D2&lt;15000,$D2*12/100,15000*12/100)</f>
        <v>1145.016</v>
      </c>
      <c r="F2" s="7">
        <f t="shared" si="1"/>
        <v>1145.016</v>
      </c>
      <c r="G2" s="7">
        <f t="shared" ref="G2:G75" si="4">E2+F2</f>
        <v>2290.032</v>
      </c>
    </row>
    <row r="3">
      <c r="A3" s="8">
        <f t="shared" ref="A3:A75" si="5">A2+1</f>
        <v>2</v>
      </c>
      <c r="B3" s="17" t="s">
        <v>136</v>
      </c>
      <c r="C3" s="7">
        <v>34435.0</v>
      </c>
      <c r="D3" s="7">
        <f t="shared" si="2"/>
        <v>20661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17" t="s">
        <v>117</v>
      </c>
      <c r="C4" s="7">
        <v>16452.0</v>
      </c>
      <c r="D4" s="7">
        <f t="shared" si="2"/>
        <v>9871.2</v>
      </c>
      <c r="E4" s="7">
        <f t="shared" ref="E4:F4" si="6">if($D4&lt;15000,$D4*12/100,15000*12/100)</f>
        <v>1184.544</v>
      </c>
      <c r="F4" s="7">
        <f t="shared" si="6"/>
        <v>1184.544</v>
      </c>
      <c r="G4" s="7">
        <f t="shared" si="4"/>
        <v>2369.088</v>
      </c>
    </row>
    <row r="5">
      <c r="A5" s="8">
        <f t="shared" si="5"/>
        <v>4</v>
      </c>
      <c r="B5" s="17" t="s">
        <v>172</v>
      </c>
      <c r="C5" s="7">
        <v>73790.0</v>
      </c>
      <c r="D5" s="7">
        <f t="shared" si="2"/>
        <v>44274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17" t="s">
        <v>101</v>
      </c>
      <c r="C6" s="7">
        <v>55000.0</v>
      </c>
      <c r="D6" s="7">
        <f t="shared" si="2"/>
        <v>33000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17" t="s">
        <v>183</v>
      </c>
      <c r="C7" s="3">
        <v>0.0</v>
      </c>
      <c r="D7" s="7">
        <f t="shared" si="2"/>
        <v>0</v>
      </c>
      <c r="E7" s="7">
        <f t="shared" ref="E7:F7" si="9">if($D7&lt;15000,$D7*12/100,15000*12/100)</f>
        <v>0</v>
      </c>
      <c r="F7" s="7">
        <f t="shared" si="9"/>
        <v>0</v>
      </c>
      <c r="G7" s="7">
        <f t="shared" si="4"/>
        <v>0</v>
      </c>
    </row>
    <row r="8">
      <c r="A8" s="8">
        <f t="shared" si="5"/>
        <v>7</v>
      </c>
      <c r="B8" s="17" t="s">
        <v>116</v>
      </c>
      <c r="C8" s="7">
        <v>30000.0</v>
      </c>
      <c r="D8" s="7">
        <f t="shared" si="2"/>
        <v>18000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17" t="s">
        <v>163</v>
      </c>
      <c r="C9" s="7">
        <v>8000.0</v>
      </c>
      <c r="D9" s="7">
        <f t="shared" si="2"/>
        <v>4800</v>
      </c>
      <c r="E9" s="7">
        <f t="shared" ref="E9:F9" si="11">if($D9&lt;15000,$D9*12/100,15000*12/100)</f>
        <v>576</v>
      </c>
      <c r="F9" s="7">
        <f t="shared" si="11"/>
        <v>576</v>
      </c>
      <c r="G9" s="7">
        <f t="shared" si="4"/>
        <v>1152</v>
      </c>
    </row>
    <row r="10">
      <c r="A10" s="8">
        <f t="shared" si="5"/>
        <v>9</v>
      </c>
      <c r="B10" s="17" t="s">
        <v>181</v>
      </c>
      <c r="C10" s="7">
        <v>19516.0</v>
      </c>
      <c r="D10" s="7">
        <f t="shared" si="2"/>
        <v>11709.6</v>
      </c>
      <c r="E10" s="7">
        <f t="shared" ref="E10:F10" si="12">if($D10&lt;15000,$D10*12/100,15000*12/100)</f>
        <v>1405.152</v>
      </c>
      <c r="F10" s="7">
        <f t="shared" si="12"/>
        <v>1405.152</v>
      </c>
      <c r="G10" s="7">
        <f t="shared" si="4"/>
        <v>2810.304</v>
      </c>
    </row>
    <row r="11">
      <c r="A11" s="8">
        <f t="shared" si="5"/>
        <v>10</v>
      </c>
      <c r="B11" s="17" t="s">
        <v>121</v>
      </c>
      <c r="C11" s="7">
        <v>15484.0</v>
      </c>
      <c r="D11" s="7">
        <f t="shared" si="2"/>
        <v>9290.4</v>
      </c>
      <c r="E11" s="7">
        <f t="shared" ref="E11:F11" si="13">if($D11&lt;15000,$D11*12/100,15000*12/100)</f>
        <v>1114.848</v>
      </c>
      <c r="F11" s="7">
        <f t="shared" si="13"/>
        <v>1114.848</v>
      </c>
      <c r="G11" s="7">
        <f t="shared" si="4"/>
        <v>2229.696</v>
      </c>
    </row>
    <row r="12">
      <c r="A12" s="8">
        <f t="shared" si="5"/>
        <v>11</v>
      </c>
      <c r="B12" s="17" t="s">
        <v>102</v>
      </c>
      <c r="C12" s="7">
        <v>63952.0</v>
      </c>
      <c r="D12" s="7">
        <f t="shared" si="2"/>
        <v>38371.2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17" t="s">
        <v>100</v>
      </c>
      <c r="C13" s="7">
        <v>75000.0</v>
      </c>
      <c r="D13" s="7">
        <f t="shared" si="2"/>
        <v>45000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17" t="s">
        <v>170</v>
      </c>
      <c r="C14" s="7">
        <v>15000.0</v>
      </c>
      <c r="D14" s="7">
        <f t="shared" si="2"/>
        <v>9000</v>
      </c>
      <c r="E14" s="7">
        <f t="shared" ref="E14:F14" si="16">if($D14&lt;15000,$D14*12/100,15000*12/100)</f>
        <v>1080</v>
      </c>
      <c r="F14" s="7">
        <f t="shared" si="16"/>
        <v>1080</v>
      </c>
      <c r="G14" s="7">
        <f t="shared" si="4"/>
        <v>2160</v>
      </c>
    </row>
    <row r="15">
      <c r="A15" s="8">
        <f t="shared" si="5"/>
        <v>14</v>
      </c>
      <c r="B15" s="17" t="s">
        <v>139</v>
      </c>
      <c r="C15" s="7">
        <v>20000.0</v>
      </c>
      <c r="D15" s="7">
        <f t="shared" si="2"/>
        <v>12000</v>
      </c>
      <c r="E15" s="7">
        <f t="shared" ref="E15:F15" si="17">if($D15&lt;15000,$D15*12/100,15000*12/100)</f>
        <v>1440</v>
      </c>
      <c r="F15" s="7">
        <f t="shared" si="17"/>
        <v>1440</v>
      </c>
      <c r="G15" s="7">
        <f t="shared" si="4"/>
        <v>2880</v>
      </c>
    </row>
    <row r="16">
      <c r="A16" s="8">
        <f t="shared" si="5"/>
        <v>15</v>
      </c>
      <c r="B16" s="17" t="s">
        <v>107</v>
      </c>
      <c r="C16" s="7">
        <v>21000.0</v>
      </c>
      <c r="D16" s="7">
        <f t="shared" si="2"/>
        <v>12600</v>
      </c>
      <c r="E16" s="7">
        <f t="shared" ref="E16:F16" si="18">if($D16&lt;15000,$D16*12/100,15000*12/100)</f>
        <v>1512</v>
      </c>
      <c r="F16" s="7">
        <f t="shared" si="18"/>
        <v>1512</v>
      </c>
      <c r="G16" s="7">
        <f t="shared" si="4"/>
        <v>3024</v>
      </c>
    </row>
    <row r="17">
      <c r="A17" s="8">
        <f t="shared" si="5"/>
        <v>16</v>
      </c>
      <c r="B17" s="17" t="s">
        <v>132</v>
      </c>
      <c r="C17" s="7">
        <v>22000.0</v>
      </c>
      <c r="D17" s="7">
        <f t="shared" si="2"/>
        <v>13200</v>
      </c>
      <c r="E17" s="7">
        <f t="shared" ref="E17:F17" si="19">if($D17&lt;15000,$D17*12/100,15000*12/100)</f>
        <v>1584</v>
      </c>
      <c r="F17" s="7">
        <f t="shared" si="19"/>
        <v>1584</v>
      </c>
      <c r="G17" s="7">
        <f t="shared" si="4"/>
        <v>3168</v>
      </c>
    </row>
    <row r="18">
      <c r="A18" s="8">
        <f t="shared" si="5"/>
        <v>17</v>
      </c>
      <c r="B18" s="17" t="s">
        <v>184</v>
      </c>
      <c r="C18" s="7">
        <v>8129.0</v>
      </c>
      <c r="D18" s="7">
        <f t="shared" si="2"/>
        <v>4877.4</v>
      </c>
      <c r="E18" s="7">
        <f t="shared" ref="E18:F18" si="20">if($D18&lt;15000,$D18*12/100,15000*12/100)</f>
        <v>585.288</v>
      </c>
      <c r="F18" s="7">
        <f t="shared" si="20"/>
        <v>585.288</v>
      </c>
      <c r="G18" s="7">
        <f t="shared" si="4"/>
        <v>1170.576</v>
      </c>
    </row>
    <row r="19">
      <c r="A19" s="8">
        <f t="shared" si="5"/>
        <v>18</v>
      </c>
      <c r="B19" s="17" t="s">
        <v>108</v>
      </c>
      <c r="C19" s="7">
        <v>24194.0</v>
      </c>
      <c r="D19" s="7">
        <f t="shared" si="2"/>
        <v>14516.4</v>
      </c>
      <c r="E19" s="7">
        <f t="shared" ref="E19:F19" si="21">if($D19&lt;15000,$D19*12/100,15000*12/100)</f>
        <v>1741.968</v>
      </c>
      <c r="F19" s="7">
        <f t="shared" si="21"/>
        <v>1741.968</v>
      </c>
      <c r="G19" s="7">
        <f t="shared" si="4"/>
        <v>3483.936</v>
      </c>
    </row>
    <row r="20">
      <c r="A20" s="8">
        <f t="shared" si="5"/>
        <v>19</v>
      </c>
      <c r="B20" s="17" t="s">
        <v>140</v>
      </c>
      <c r="C20" s="7">
        <v>20000.0</v>
      </c>
      <c r="D20" s="7">
        <f t="shared" si="2"/>
        <v>12000</v>
      </c>
      <c r="E20" s="7">
        <f t="shared" ref="E20:F20" si="22">if($D20&lt;15000,$D20*12/100,15000*12/100)</f>
        <v>1440</v>
      </c>
      <c r="F20" s="7">
        <f t="shared" si="22"/>
        <v>1440</v>
      </c>
      <c r="G20" s="7">
        <f t="shared" si="4"/>
        <v>2880</v>
      </c>
    </row>
    <row r="21">
      <c r="A21" s="8">
        <f t="shared" si="5"/>
        <v>20</v>
      </c>
      <c r="B21" s="17" t="s">
        <v>127</v>
      </c>
      <c r="C21" s="7">
        <v>15581.0</v>
      </c>
      <c r="D21" s="7">
        <f t="shared" si="2"/>
        <v>9348.6</v>
      </c>
      <c r="E21" s="7">
        <f t="shared" ref="E21:F21" si="23">if($D21&lt;15000,$D21*12/100,15000*12/100)</f>
        <v>1121.832</v>
      </c>
      <c r="F21" s="7">
        <f t="shared" si="23"/>
        <v>1121.832</v>
      </c>
      <c r="G21" s="7">
        <f t="shared" si="4"/>
        <v>2243.664</v>
      </c>
    </row>
    <row r="22">
      <c r="A22" s="8">
        <f t="shared" si="5"/>
        <v>21</v>
      </c>
      <c r="B22" s="17" t="s">
        <v>169</v>
      </c>
      <c r="C22" s="7">
        <v>20000.0</v>
      </c>
      <c r="D22" s="7">
        <f t="shared" si="2"/>
        <v>12000</v>
      </c>
      <c r="E22" s="7">
        <f t="shared" ref="E22:F22" si="24">if($D22&lt;15000,$D22*12/100,15000*12/100)</f>
        <v>1440</v>
      </c>
      <c r="F22" s="7">
        <f t="shared" si="24"/>
        <v>1440</v>
      </c>
      <c r="G22" s="7">
        <f t="shared" si="4"/>
        <v>2880</v>
      </c>
    </row>
    <row r="23">
      <c r="A23" s="8">
        <f t="shared" si="5"/>
        <v>22</v>
      </c>
      <c r="B23" s="17" t="s">
        <v>135</v>
      </c>
      <c r="C23" s="7">
        <v>24194.0</v>
      </c>
      <c r="D23" s="7">
        <f t="shared" si="2"/>
        <v>14516.4</v>
      </c>
      <c r="E23" s="7">
        <f t="shared" ref="E23:F23" si="25">if($D23&lt;15000,$D23*12/100,15000*12/100)</f>
        <v>1741.968</v>
      </c>
      <c r="F23" s="7">
        <f t="shared" si="25"/>
        <v>1741.968</v>
      </c>
      <c r="G23" s="7">
        <f t="shared" si="4"/>
        <v>3483.936</v>
      </c>
    </row>
    <row r="24">
      <c r="A24" s="8">
        <f t="shared" si="5"/>
        <v>23</v>
      </c>
      <c r="B24" s="17" t="s">
        <v>133</v>
      </c>
      <c r="C24" s="7">
        <v>4113.0</v>
      </c>
      <c r="D24" s="7">
        <f t="shared" si="2"/>
        <v>2467.8</v>
      </c>
      <c r="E24" s="7">
        <f t="shared" ref="E24:F24" si="26">if($D24&lt;15000,$D24*12/100,15000*12/100)</f>
        <v>296.136</v>
      </c>
      <c r="F24" s="7">
        <f t="shared" si="26"/>
        <v>296.136</v>
      </c>
      <c r="G24" s="7">
        <f t="shared" si="4"/>
        <v>592.272</v>
      </c>
    </row>
    <row r="25">
      <c r="A25" s="8">
        <f t="shared" si="5"/>
        <v>24</v>
      </c>
      <c r="B25" s="17" t="s">
        <v>105</v>
      </c>
      <c r="C25" s="7">
        <v>29000.0</v>
      </c>
      <c r="D25" s="7">
        <f t="shared" si="2"/>
        <v>17400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17" t="s">
        <v>111</v>
      </c>
      <c r="C26" s="7">
        <v>28065.0</v>
      </c>
      <c r="D26" s="7">
        <f t="shared" si="2"/>
        <v>16839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17" t="s">
        <v>143</v>
      </c>
      <c r="C27" s="7">
        <v>16452.0</v>
      </c>
      <c r="D27" s="7">
        <f t="shared" si="2"/>
        <v>9871.2</v>
      </c>
      <c r="E27" s="7">
        <f t="shared" ref="E27:F27" si="29">if($D27&lt;15000,$D27*12/100,15000*12/100)</f>
        <v>1184.544</v>
      </c>
      <c r="F27" s="7">
        <f t="shared" si="29"/>
        <v>1184.544</v>
      </c>
      <c r="G27" s="7">
        <f t="shared" si="4"/>
        <v>2369.088</v>
      </c>
    </row>
    <row r="28">
      <c r="A28" s="8">
        <f t="shared" si="5"/>
        <v>27</v>
      </c>
      <c r="B28" s="17" t="s">
        <v>151</v>
      </c>
      <c r="C28" s="7">
        <v>21000.0</v>
      </c>
      <c r="D28" s="7">
        <f t="shared" si="2"/>
        <v>12600</v>
      </c>
      <c r="E28" s="7">
        <f t="shared" ref="E28:F28" si="30">if($D28&lt;15000,$D28*12/100,15000*12/100)</f>
        <v>1512</v>
      </c>
      <c r="F28" s="7">
        <f t="shared" si="30"/>
        <v>1512</v>
      </c>
      <c r="G28" s="7">
        <f t="shared" si="4"/>
        <v>3024</v>
      </c>
    </row>
    <row r="29">
      <c r="A29" s="8">
        <f t="shared" si="5"/>
        <v>28</v>
      </c>
      <c r="B29" s="17" t="s">
        <v>182</v>
      </c>
      <c r="C29" s="7">
        <v>14452.0</v>
      </c>
      <c r="D29" s="7">
        <f t="shared" si="2"/>
        <v>8671.2</v>
      </c>
      <c r="E29" s="7">
        <f t="shared" ref="E29:F29" si="31">if($D29&lt;15000,$D29*12/100,15000*12/100)</f>
        <v>1040.544</v>
      </c>
      <c r="F29" s="7">
        <f t="shared" si="31"/>
        <v>1040.544</v>
      </c>
      <c r="G29" s="7">
        <f t="shared" si="4"/>
        <v>2081.088</v>
      </c>
    </row>
    <row r="30">
      <c r="A30" s="8">
        <f t="shared" si="5"/>
        <v>29</v>
      </c>
      <c r="B30" s="17" t="s">
        <v>185</v>
      </c>
      <c r="C30" s="7">
        <v>5806.0</v>
      </c>
      <c r="D30" s="7">
        <f t="shared" si="2"/>
        <v>3483.6</v>
      </c>
      <c r="E30" s="7">
        <f t="shared" ref="E30:F30" si="32">if($D30&lt;15000,$D30*12/100,15000*12/100)</f>
        <v>418.032</v>
      </c>
      <c r="F30" s="7">
        <f t="shared" si="32"/>
        <v>418.032</v>
      </c>
      <c r="G30" s="7">
        <f t="shared" si="4"/>
        <v>836.064</v>
      </c>
    </row>
    <row r="31">
      <c r="A31" s="8">
        <f t="shared" si="5"/>
        <v>30</v>
      </c>
      <c r="B31" s="17" t="s">
        <v>164</v>
      </c>
      <c r="C31" s="7">
        <v>16452.0</v>
      </c>
      <c r="D31" s="7">
        <f t="shared" si="2"/>
        <v>9871.2</v>
      </c>
      <c r="E31" s="7">
        <f t="shared" ref="E31:F31" si="33">if($D31&lt;15000,$D31*12/100,15000*12/100)</f>
        <v>1184.544</v>
      </c>
      <c r="F31" s="7">
        <f t="shared" si="33"/>
        <v>1184.544</v>
      </c>
      <c r="G31" s="7">
        <f t="shared" si="4"/>
        <v>2369.088</v>
      </c>
    </row>
    <row r="32">
      <c r="A32" s="8">
        <f t="shared" si="5"/>
        <v>31</v>
      </c>
      <c r="B32" s="17" t="s">
        <v>106</v>
      </c>
      <c r="C32" s="7">
        <v>21516.0</v>
      </c>
      <c r="D32" s="7">
        <f t="shared" si="2"/>
        <v>12909.6</v>
      </c>
      <c r="E32" s="7">
        <f t="shared" ref="E32:F32" si="34">if($D32&lt;15000,$D32*12/100,15000*12/100)</f>
        <v>1549.152</v>
      </c>
      <c r="F32" s="7">
        <f t="shared" si="34"/>
        <v>1549.152</v>
      </c>
      <c r="G32" s="7">
        <f t="shared" si="4"/>
        <v>3098.304</v>
      </c>
    </row>
    <row r="33">
      <c r="A33" s="8">
        <f t="shared" si="5"/>
        <v>32</v>
      </c>
      <c r="B33" s="17" t="s">
        <v>120</v>
      </c>
      <c r="C33" s="7">
        <v>24194.0</v>
      </c>
      <c r="D33" s="7">
        <f t="shared" si="2"/>
        <v>14516.4</v>
      </c>
      <c r="E33" s="7">
        <f t="shared" ref="E33:F33" si="35">if($D33&lt;15000,$D33*12/100,15000*12/100)</f>
        <v>1741.968</v>
      </c>
      <c r="F33" s="7">
        <f t="shared" si="35"/>
        <v>1741.968</v>
      </c>
      <c r="G33" s="7">
        <f t="shared" si="4"/>
        <v>3483.936</v>
      </c>
    </row>
    <row r="34">
      <c r="A34" s="8">
        <f t="shared" si="5"/>
        <v>33</v>
      </c>
      <c r="B34" s="18" t="s">
        <v>152</v>
      </c>
      <c r="C34" s="7">
        <v>8000.0</v>
      </c>
      <c r="D34" s="7">
        <f t="shared" si="2"/>
        <v>4800</v>
      </c>
      <c r="E34" s="7">
        <f t="shared" ref="E34:F34" si="36">if($D34&lt;15000,$D34*12/100,15000*12/100)</f>
        <v>576</v>
      </c>
      <c r="F34" s="7">
        <f t="shared" si="36"/>
        <v>576</v>
      </c>
      <c r="G34" s="7">
        <f t="shared" si="4"/>
        <v>1152</v>
      </c>
    </row>
    <row r="35">
      <c r="A35" s="8">
        <f t="shared" si="5"/>
        <v>34</v>
      </c>
      <c r="B35" s="18" t="s">
        <v>130</v>
      </c>
      <c r="C35" s="7">
        <v>16000.0</v>
      </c>
      <c r="D35" s="7">
        <f t="shared" si="2"/>
        <v>9600</v>
      </c>
      <c r="E35" s="7">
        <f t="shared" ref="E35:F35" si="37">if($D35&lt;15000,$D35*12/100,15000*12/100)</f>
        <v>1152</v>
      </c>
      <c r="F35" s="7">
        <f t="shared" si="37"/>
        <v>1152</v>
      </c>
      <c r="G35" s="7">
        <f t="shared" si="4"/>
        <v>2304</v>
      </c>
    </row>
    <row r="36">
      <c r="A36" s="8">
        <f t="shared" si="5"/>
        <v>35</v>
      </c>
      <c r="B36" s="18" t="s">
        <v>123</v>
      </c>
      <c r="C36" s="7">
        <v>8000.0</v>
      </c>
      <c r="D36" s="7">
        <f t="shared" si="2"/>
        <v>4800</v>
      </c>
      <c r="E36" s="7">
        <f t="shared" ref="E36:F36" si="38">if($D36&lt;15000,$D36*12/100,15000*12/100)</f>
        <v>576</v>
      </c>
      <c r="F36" s="7">
        <f t="shared" si="38"/>
        <v>576</v>
      </c>
      <c r="G36" s="7">
        <f t="shared" si="4"/>
        <v>1152</v>
      </c>
    </row>
    <row r="37">
      <c r="A37" s="8">
        <f t="shared" si="5"/>
        <v>36</v>
      </c>
      <c r="B37" s="18" t="s">
        <v>128</v>
      </c>
      <c r="C37" s="19">
        <v>6000.0</v>
      </c>
      <c r="D37" s="7">
        <f t="shared" si="2"/>
        <v>3600</v>
      </c>
      <c r="E37" s="7">
        <f t="shared" ref="E37:F37" si="39">if($D37&lt;15000,$D37*12/100,15000*12/100)</f>
        <v>432</v>
      </c>
      <c r="F37" s="7">
        <f t="shared" si="39"/>
        <v>432</v>
      </c>
      <c r="G37" s="7">
        <f t="shared" si="4"/>
        <v>864</v>
      </c>
    </row>
    <row r="38">
      <c r="A38" s="8">
        <f t="shared" si="5"/>
        <v>37</v>
      </c>
      <c r="B38" s="16" t="s">
        <v>175</v>
      </c>
      <c r="C38" s="19">
        <v>16774.0</v>
      </c>
      <c r="D38" s="7">
        <f t="shared" si="2"/>
        <v>10064.4</v>
      </c>
      <c r="E38" s="7">
        <f t="shared" ref="E38:F38" si="40">if($D38&lt;15000,$D38*12/100,15000*12/100)</f>
        <v>1207.728</v>
      </c>
      <c r="F38" s="7">
        <f t="shared" si="40"/>
        <v>1207.728</v>
      </c>
      <c r="G38" s="7">
        <f t="shared" si="4"/>
        <v>2415.456</v>
      </c>
    </row>
    <row r="39">
      <c r="A39" s="8">
        <f t="shared" si="5"/>
        <v>38</v>
      </c>
      <c r="B39" s="16" t="s">
        <v>104</v>
      </c>
      <c r="C39" s="19">
        <v>33000.0</v>
      </c>
      <c r="D39" s="7">
        <f t="shared" si="2"/>
        <v>19800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16" t="s">
        <v>186</v>
      </c>
      <c r="C40" s="19">
        <v>12000.0</v>
      </c>
      <c r="D40" s="7">
        <f t="shared" si="2"/>
        <v>7200</v>
      </c>
      <c r="E40" s="7">
        <f t="shared" ref="E40:F40" si="42">if($D40&lt;15000,$D40*12/100,15000*12/100)</f>
        <v>864</v>
      </c>
      <c r="F40" s="7">
        <f t="shared" si="42"/>
        <v>864</v>
      </c>
      <c r="G40" s="7">
        <f t="shared" si="4"/>
        <v>1728</v>
      </c>
    </row>
    <row r="41">
      <c r="A41" s="8">
        <f t="shared" si="5"/>
        <v>40</v>
      </c>
      <c r="B41" s="16" t="s">
        <v>180</v>
      </c>
      <c r="C41" s="19">
        <v>17000.0</v>
      </c>
      <c r="D41" s="7">
        <f t="shared" si="2"/>
        <v>10200</v>
      </c>
      <c r="E41" s="7">
        <f t="shared" ref="E41:F41" si="43">if($D41&lt;15000,$D41*12/100,15000*12/100)</f>
        <v>1224</v>
      </c>
      <c r="F41" s="7">
        <f t="shared" si="43"/>
        <v>1224</v>
      </c>
      <c r="G41" s="7">
        <f t="shared" si="4"/>
        <v>2448</v>
      </c>
    </row>
    <row r="42">
      <c r="A42" s="8">
        <f t="shared" si="5"/>
        <v>41</v>
      </c>
      <c r="B42" s="16" t="s">
        <v>114</v>
      </c>
      <c r="C42" s="19">
        <v>28000.0</v>
      </c>
      <c r="D42" s="7">
        <f t="shared" si="2"/>
        <v>16800</v>
      </c>
      <c r="E42" s="7">
        <f t="shared" ref="E42:F42" si="44">if($D42&lt;15000,$D42*12/100,15000*12/100)</f>
        <v>1800</v>
      </c>
      <c r="F42" s="7">
        <f t="shared" si="44"/>
        <v>1800</v>
      </c>
      <c r="G42" s="7">
        <f t="shared" si="4"/>
        <v>3600</v>
      </c>
    </row>
    <row r="43">
      <c r="A43" s="8">
        <f t="shared" si="5"/>
        <v>42</v>
      </c>
      <c r="B43" s="16" t="s">
        <v>126</v>
      </c>
      <c r="C43" s="19">
        <v>22984.0</v>
      </c>
      <c r="D43" s="7">
        <f t="shared" si="2"/>
        <v>13790.4</v>
      </c>
      <c r="E43" s="7">
        <f t="shared" ref="E43:F43" si="45">if($D43&lt;15000,$D43*12/100,15000*12/100)</f>
        <v>1654.848</v>
      </c>
      <c r="F43" s="7">
        <f t="shared" si="45"/>
        <v>1654.848</v>
      </c>
      <c r="G43" s="7">
        <f t="shared" si="4"/>
        <v>3309.696</v>
      </c>
    </row>
    <row r="44">
      <c r="A44" s="8">
        <f t="shared" si="5"/>
        <v>43</v>
      </c>
      <c r="B44" s="16" t="s">
        <v>129</v>
      </c>
      <c r="C44" s="19">
        <v>15355.0</v>
      </c>
      <c r="D44" s="7">
        <f t="shared" si="2"/>
        <v>9213</v>
      </c>
      <c r="E44" s="7">
        <f t="shared" ref="E44:F44" si="46">if($D44&lt;15000,$D44*12/100,15000*12/100)</f>
        <v>1105.56</v>
      </c>
      <c r="F44" s="7">
        <f t="shared" si="46"/>
        <v>1105.56</v>
      </c>
      <c r="G44" s="7">
        <f t="shared" si="4"/>
        <v>2211.12</v>
      </c>
    </row>
    <row r="45">
      <c r="A45" s="8">
        <f t="shared" si="5"/>
        <v>44</v>
      </c>
      <c r="B45" s="16" t="s">
        <v>174</v>
      </c>
      <c r="C45" s="19">
        <v>66194.0</v>
      </c>
      <c r="D45" s="7">
        <f t="shared" si="2"/>
        <v>39716.4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16" t="s">
        <v>137</v>
      </c>
      <c r="C46" s="19">
        <v>32000.0</v>
      </c>
      <c r="D46" s="7">
        <f t="shared" si="2"/>
        <v>19200</v>
      </c>
      <c r="E46" s="7">
        <f t="shared" ref="E46:F46" si="48">if($D46&lt;15000,$D46*12/100,15000*12/100)</f>
        <v>1800</v>
      </c>
      <c r="F46" s="7">
        <f t="shared" si="48"/>
        <v>1800</v>
      </c>
      <c r="G46" s="7">
        <f t="shared" si="4"/>
        <v>3600</v>
      </c>
    </row>
    <row r="47">
      <c r="A47" s="8">
        <f t="shared" si="5"/>
        <v>46</v>
      </c>
      <c r="B47" s="16" t="s">
        <v>187</v>
      </c>
      <c r="C47" s="19">
        <v>5323.0</v>
      </c>
      <c r="D47" s="7">
        <f t="shared" si="2"/>
        <v>3193.8</v>
      </c>
      <c r="E47" s="7">
        <f t="shared" ref="E47:F47" si="49">if($D47&lt;15000,$D47*12/100,15000*12/100)</f>
        <v>383.256</v>
      </c>
      <c r="F47" s="7">
        <f t="shared" si="49"/>
        <v>383.256</v>
      </c>
      <c r="G47" s="7">
        <f t="shared" si="4"/>
        <v>766.512</v>
      </c>
    </row>
    <row r="48">
      <c r="A48" s="8">
        <f t="shared" si="5"/>
        <v>47</v>
      </c>
      <c r="B48" s="16" t="s">
        <v>176</v>
      </c>
      <c r="C48" s="19">
        <v>18000.0</v>
      </c>
      <c r="D48" s="7">
        <f t="shared" si="2"/>
        <v>10800</v>
      </c>
      <c r="E48" s="7">
        <f t="shared" ref="E48:F48" si="50">if($D48&lt;15000,$D48*12/100,15000*12/100)</f>
        <v>1296</v>
      </c>
      <c r="F48" s="7">
        <f t="shared" si="50"/>
        <v>1296</v>
      </c>
      <c r="G48" s="7">
        <f t="shared" si="4"/>
        <v>2592</v>
      </c>
    </row>
    <row r="49">
      <c r="A49" s="8">
        <f t="shared" si="5"/>
        <v>48</v>
      </c>
      <c r="B49" s="16" t="s">
        <v>118</v>
      </c>
      <c r="C49" s="19">
        <v>17742.0</v>
      </c>
      <c r="D49" s="7">
        <f t="shared" si="2"/>
        <v>10645.2</v>
      </c>
      <c r="E49" s="7">
        <f t="shared" ref="E49:F49" si="51">if($D49&lt;15000,$D49*12/100,15000*12/100)</f>
        <v>1277.424</v>
      </c>
      <c r="F49" s="7">
        <f t="shared" si="51"/>
        <v>1277.424</v>
      </c>
      <c r="G49" s="7">
        <f t="shared" si="4"/>
        <v>2554.848</v>
      </c>
    </row>
    <row r="50">
      <c r="A50" s="8">
        <f t="shared" si="5"/>
        <v>49</v>
      </c>
      <c r="B50" s="16" t="s">
        <v>115</v>
      </c>
      <c r="C50" s="19">
        <v>9000.0</v>
      </c>
      <c r="D50" s="7">
        <f t="shared" si="2"/>
        <v>5400</v>
      </c>
      <c r="E50" s="7">
        <f t="shared" ref="E50:F50" si="52">if($D50&lt;15000,$D50*12/100,15000*12/100)</f>
        <v>648</v>
      </c>
      <c r="F50" s="7">
        <f t="shared" si="52"/>
        <v>648</v>
      </c>
      <c r="G50" s="7">
        <f t="shared" si="4"/>
        <v>1296</v>
      </c>
    </row>
    <row r="51">
      <c r="A51" s="8">
        <f t="shared" si="5"/>
        <v>50</v>
      </c>
      <c r="B51" s="16" t="s">
        <v>148</v>
      </c>
      <c r="C51" s="19">
        <v>23000.0</v>
      </c>
      <c r="D51" s="7">
        <f t="shared" si="2"/>
        <v>13800</v>
      </c>
      <c r="E51" s="7">
        <f t="shared" ref="E51:F51" si="53">if($D51&lt;15000,$D51*12/100,15000*12/100)</f>
        <v>1656</v>
      </c>
      <c r="F51" s="7">
        <f t="shared" si="53"/>
        <v>1656</v>
      </c>
      <c r="G51" s="7">
        <f t="shared" si="4"/>
        <v>3312</v>
      </c>
    </row>
    <row r="52">
      <c r="A52" s="8">
        <f t="shared" si="5"/>
        <v>51</v>
      </c>
      <c r="B52" s="16" t="s">
        <v>150</v>
      </c>
      <c r="C52" s="19">
        <v>18000.0</v>
      </c>
      <c r="D52" s="7">
        <f t="shared" si="2"/>
        <v>10800</v>
      </c>
      <c r="E52" s="7">
        <f t="shared" ref="E52:F52" si="54">if($D52&lt;15000,$D52*12/100,15000*12/100)</f>
        <v>1296</v>
      </c>
      <c r="F52" s="7">
        <f t="shared" si="54"/>
        <v>1296</v>
      </c>
      <c r="G52" s="7">
        <f t="shared" si="4"/>
        <v>2592</v>
      </c>
    </row>
    <row r="53">
      <c r="A53" s="8">
        <f t="shared" si="5"/>
        <v>52</v>
      </c>
      <c r="B53" s="16" t="s">
        <v>122</v>
      </c>
      <c r="C53" s="19">
        <v>16000.0</v>
      </c>
      <c r="D53" s="7">
        <f t="shared" si="2"/>
        <v>9600</v>
      </c>
      <c r="E53" s="7">
        <f t="shared" ref="E53:F53" si="55">if($D53&lt;15000,$D53*12/100,15000*12/100)</f>
        <v>1152</v>
      </c>
      <c r="F53" s="7">
        <f t="shared" si="55"/>
        <v>1152</v>
      </c>
      <c r="G53" s="7">
        <f t="shared" si="4"/>
        <v>2304</v>
      </c>
    </row>
    <row r="54">
      <c r="A54" s="8">
        <f t="shared" si="5"/>
        <v>53</v>
      </c>
      <c r="B54" s="16" t="s">
        <v>162</v>
      </c>
      <c r="C54" s="19">
        <v>21645.0</v>
      </c>
      <c r="D54" s="7">
        <f t="shared" si="2"/>
        <v>12987</v>
      </c>
      <c r="E54" s="7">
        <f t="shared" ref="E54:F54" si="56">if($D54&lt;15000,$D54*12/100,15000*12/100)</f>
        <v>1558.44</v>
      </c>
      <c r="F54" s="7">
        <f t="shared" si="56"/>
        <v>1558.44</v>
      </c>
      <c r="G54" s="7">
        <f t="shared" si="4"/>
        <v>3116.88</v>
      </c>
    </row>
    <row r="55">
      <c r="A55" s="8">
        <f t="shared" si="5"/>
        <v>54</v>
      </c>
      <c r="B55" s="16" t="s">
        <v>119</v>
      </c>
      <c r="C55" s="19">
        <v>20968.0</v>
      </c>
      <c r="D55" s="7">
        <f t="shared" si="2"/>
        <v>12580.8</v>
      </c>
      <c r="E55" s="7">
        <f t="shared" ref="E55:F55" si="57">if($D55&lt;15000,$D55*12/100,15000*12/100)</f>
        <v>1509.696</v>
      </c>
      <c r="F55" s="7">
        <f t="shared" si="57"/>
        <v>1509.696</v>
      </c>
      <c r="G55" s="7">
        <f t="shared" si="4"/>
        <v>3019.392</v>
      </c>
    </row>
    <row r="56">
      <c r="A56" s="8">
        <f t="shared" si="5"/>
        <v>55</v>
      </c>
      <c r="B56" s="16" t="s">
        <v>145</v>
      </c>
      <c r="C56" s="19">
        <v>32742.0</v>
      </c>
      <c r="D56" s="7">
        <f t="shared" si="2"/>
        <v>19645.2</v>
      </c>
      <c r="E56" s="7">
        <f t="shared" ref="E56:F56" si="58">if($D56&lt;15000,$D56*12/100,15000*12/100)</f>
        <v>1800</v>
      </c>
      <c r="F56" s="7">
        <f t="shared" si="58"/>
        <v>1800</v>
      </c>
      <c r="G56" s="7">
        <f t="shared" si="4"/>
        <v>3600</v>
      </c>
    </row>
    <row r="57">
      <c r="A57" s="8">
        <f t="shared" si="5"/>
        <v>56</v>
      </c>
      <c r="B57" s="16" t="s">
        <v>112</v>
      </c>
      <c r="C57" s="19">
        <v>36000.0</v>
      </c>
      <c r="D57" s="7">
        <f t="shared" si="2"/>
        <v>21600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16" t="s">
        <v>173</v>
      </c>
      <c r="C58" s="19">
        <v>64581.0</v>
      </c>
      <c r="D58" s="7">
        <f t="shared" si="2"/>
        <v>38748.6</v>
      </c>
      <c r="E58" s="7">
        <f t="shared" ref="E58:F58" si="60">if($D58&lt;15000,$D58*12/100,15000*12/100)</f>
        <v>1800</v>
      </c>
      <c r="F58" s="7">
        <f t="shared" si="60"/>
        <v>1800</v>
      </c>
      <c r="G58" s="7">
        <f t="shared" si="4"/>
        <v>3600</v>
      </c>
    </row>
    <row r="59">
      <c r="A59" s="8">
        <f t="shared" si="5"/>
        <v>58</v>
      </c>
      <c r="B59" s="16" t="s">
        <v>171</v>
      </c>
      <c r="C59" s="19">
        <v>70161.0</v>
      </c>
      <c r="D59" s="7">
        <f t="shared" si="2"/>
        <v>42096.6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</row>
    <row r="60">
      <c r="A60" s="8">
        <f t="shared" si="5"/>
        <v>59</v>
      </c>
      <c r="B60" s="16" t="s">
        <v>177</v>
      </c>
      <c r="C60" s="19">
        <v>22177.0</v>
      </c>
      <c r="D60" s="7">
        <f t="shared" si="2"/>
        <v>13306.2</v>
      </c>
      <c r="E60" s="7">
        <f t="shared" ref="E60:F60" si="62">if($D60&lt;15000,$D60*12/100,15000*12/100)</f>
        <v>1596.744</v>
      </c>
      <c r="F60" s="7">
        <f t="shared" si="62"/>
        <v>1596.744</v>
      </c>
      <c r="G60" s="7">
        <f t="shared" si="4"/>
        <v>3193.488</v>
      </c>
    </row>
    <row r="61">
      <c r="A61" s="8">
        <f t="shared" si="5"/>
        <v>60</v>
      </c>
      <c r="B61" s="16" t="s">
        <v>142</v>
      </c>
      <c r="C61" s="19">
        <v>19871.0</v>
      </c>
      <c r="D61" s="7">
        <f t="shared" si="2"/>
        <v>11922.6</v>
      </c>
      <c r="E61" s="7">
        <f t="shared" ref="E61:F61" si="63">if($D61&lt;15000,$D61*12/100,15000*12/100)</f>
        <v>1430.712</v>
      </c>
      <c r="F61" s="7">
        <f t="shared" si="63"/>
        <v>1430.712</v>
      </c>
      <c r="G61" s="7">
        <f t="shared" si="4"/>
        <v>2861.424</v>
      </c>
    </row>
    <row r="62">
      <c r="A62" s="8">
        <f t="shared" si="5"/>
        <v>61</v>
      </c>
      <c r="B62" s="16" t="s">
        <v>165</v>
      </c>
      <c r="C62" s="19">
        <v>20000.0</v>
      </c>
      <c r="D62" s="7">
        <f t="shared" si="2"/>
        <v>12000</v>
      </c>
      <c r="E62" s="7">
        <f t="shared" ref="E62:F62" si="64">if($D62&lt;15000,$D62*12/100,15000*12/100)</f>
        <v>1440</v>
      </c>
      <c r="F62" s="7">
        <f t="shared" si="64"/>
        <v>1440</v>
      </c>
      <c r="G62" s="7">
        <f t="shared" si="4"/>
        <v>2880</v>
      </c>
    </row>
    <row r="63">
      <c r="A63" s="8">
        <f t="shared" si="5"/>
        <v>62</v>
      </c>
      <c r="B63" s="16" t="s">
        <v>179</v>
      </c>
      <c r="C63" s="19">
        <v>14968.0</v>
      </c>
      <c r="D63" s="7">
        <f t="shared" si="2"/>
        <v>8980.8</v>
      </c>
      <c r="E63" s="7">
        <f t="shared" ref="E63:F63" si="65">if($D63&lt;15000,$D63*12/100,15000*12/100)</f>
        <v>1077.696</v>
      </c>
      <c r="F63" s="7">
        <f t="shared" si="65"/>
        <v>1077.696</v>
      </c>
      <c r="G63" s="7">
        <f t="shared" si="4"/>
        <v>2155.392</v>
      </c>
    </row>
    <row r="64">
      <c r="A64" s="8">
        <f t="shared" si="5"/>
        <v>63</v>
      </c>
      <c r="B64" s="16" t="s">
        <v>178</v>
      </c>
      <c r="C64" s="19">
        <v>18387.0</v>
      </c>
      <c r="D64" s="7">
        <f t="shared" si="2"/>
        <v>11032.2</v>
      </c>
      <c r="E64" s="7">
        <f t="shared" ref="E64:F64" si="66">if($D64&lt;15000,$D64*12/100,15000*12/100)</f>
        <v>1323.864</v>
      </c>
      <c r="F64" s="7">
        <f t="shared" si="66"/>
        <v>1323.864</v>
      </c>
      <c r="G64" s="7">
        <f t="shared" si="4"/>
        <v>2647.728</v>
      </c>
    </row>
    <row r="65">
      <c r="A65" s="8">
        <f t="shared" si="5"/>
        <v>64</v>
      </c>
      <c r="B65" s="16" t="s">
        <v>131</v>
      </c>
      <c r="C65" s="19">
        <v>13935.0</v>
      </c>
      <c r="D65" s="7">
        <f t="shared" si="2"/>
        <v>8361</v>
      </c>
      <c r="E65" s="7">
        <f t="shared" ref="E65:F65" si="67">if($D65&lt;15000,$D65*12/100,15000*12/100)</f>
        <v>1003.32</v>
      </c>
      <c r="F65" s="7">
        <f t="shared" si="67"/>
        <v>1003.32</v>
      </c>
      <c r="G65" s="7">
        <f t="shared" si="4"/>
        <v>2006.64</v>
      </c>
    </row>
    <row r="66">
      <c r="A66" s="8">
        <f t="shared" si="5"/>
        <v>65</v>
      </c>
      <c r="B66" s="16" t="s">
        <v>103</v>
      </c>
      <c r="C66" s="19">
        <v>22629.0</v>
      </c>
      <c r="D66" s="7">
        <f t="shared" si="2"/>
        <v>13577.4</v>
      </c>
      <c r="E66" s="7">
        <f t="shared" ref="E66:F66" si="68">if($D66&lt;15000,$D66*12/100,15000*12/100)</f>
        <v>1629.288</v>
      </c>
      <c r="F66" s="7">
        <f t="shared" si="68"/>
        <v>1629.288</v>
      </c>
      <c r="G66" s="7">
        <f t="shared" si="4"/>
        <v>3258.576</v>
      </c>
    </row>
    <row r="67">
      <c r="A67" s="8">
        <f t="shared" si="5"/>
        <v>66</v>
      </c>
      <c r="B67" s="16" t="s">
        <v>110</v>
      </c>
      <c r="C67" s="19">
        <v>20000.0</v>
      </c>
      <c r="D67" s="7">
        <f t="shared" si="2"/>
        <v>12000</v>
      </c>
      <c r="E67" s="7">
        <f t="shared" ref="E67:F67" si="69">if($D67&lt;15000,$D67*12/100,15000*12/100)</f>
        <v>1440</v>
      </c>
      <c r="F67" s="7">
        <f t="shared" si="69"/>
        <v>1440</v>
      </c>
      <c r="G67" s="7">
        <f t="shared" si="4"/>
        <v>2880</v>
      </c>
    </row>
    <row r="68">
      <c r="A68" s="8">
        <f t="shared" si="5"/>
        <v>67</v>
      </c>
      <c r="B68" s="16" t="s">
        <v>109</v>
      </c>
      <c r="C68" s="19">
        <v>19645.0</v>
      </c>
      <c r="D68" s="7">
        <f t="shared" si="2"/>
        <v>11787</v>
      </c>
      <c r="E68" s="7">
        <f t="shared" ref="E68:F68" si="70">if($D68&lt;15000,$D68*12/100,15000*12/100)</f>
        <v>1414.44</v>
      </c>
      <c r="F68" s="7">
        <f t="shared" si="70"/>
        <v>1414.44</v>
      </c>
      <c r="G68" s="7">
        <f t="shared" si="4"/>
        <v>2828.88</v>
      </c>
    </row>
    <row r="69">
      <c r="A69" s="8">
        <f t="shared" si="5"/>
        <v>68</v>
      </c>
      <c r="B69" s="16" t="s">
        <v>154</v>
      </c>
      <c r="C69" s="7">
        <v>16177.0</v>
      </c>
      <c r="D69" s="7">
        <f t="shared" si="2"/>
        <v>9706.2</v>
      </c>
      <c r="E69" s="7">
        <f t="shared" ref="E69:F69" si="71">if($D69&lt;15000,$D69*12/100,15000*12/100)</f>
        <v>1164.744</v>
      </c>
      <c r="F69" s="7">
        <f t="shared" si="71"/>
        <v>1164.744</v>
      </c>
      <c r="G69" s="7">
        <f t="shared" si="4"/>
        <v>2329.488</v>
      </c>
    </row>
    <row r="70">
      <c r="A70" s="8">
        <f t="shared" si="5"/>
        <v>69</v>
      </c>
      <c r="B70" s="16" t="s">
        <v>155</v>
      </c>
      <c r="C70" s="7">
        <v>23000.0</v>
      </c>
      <c r="D70" s="7">
        <f t="shared" si="2"/>
        <v>13800</v>
      </c>
      <c r="E70" s="7">
        <f t="shared" ref="E70:F70" si="72">if($D70&lt;15000,$D70*12/100,15000*12/100)</f>
        <v>1656</v>
      </c>
      <c r="F70" s="7">
        <f t="shared" si="72"/>
        <v>1656</v>
      </c>
      <c r="G70" s="7">
        <f t="shared" si="4"/>
        <v>3312</v>
      </c>
    </row>
    <row r="71">
      <c r="A71" s="8">
        <f t="shared" si="5"/>
        <v>70</v>
      </c>
      <c r="B71" s="16" t="s">
        <v>156</v>
      </c>
      <c r="C71" s="7">
        <v>19355.0</v>
      </c>
      <c r="D71" s="7">
        <f t="shared" si="2"/>
        <v>11613</v>
      </c>
      <c r="E71" s="7">
        <f t="shared" ref="E71:F71" si="73">if($D71&lt;15000,$D71*12/100,15000*12/100)</f>
        <v>1393.56</v>
      </c>
      <c r="F71" s="7">
        <f t="shared" si="73"/>
        <v>1393.56</v>
      </c>
      <c r="G71" s="7">
        <f t="shared" si="4"/>
        <v>2787.12</v>
      </c>
    </row>
    <row r="72">
      <c r="A72" s="8">
        <f t="shared" si="5"/>
        <v>71</v>
      </c>
      <c r="B72" s="16" t="s">
        <v>157</v>
      </c>
      <c r="C72" s="7">
        <v>17419.0</v>
      </c>
      <c r="D72" s="7">
        <f t="shared" si="2"/>
        <v>10451.4</v>
      </c>
      <c r="E72" s="7">
        <f t="shared" ref="E72:F72" si="74">if($D72&lt;15000,$D72*12/100,15000*12/100)</f>
        <v>1254.168</v>
      </c>
      <c r="F72" s="7">
        <f t="shared" si="74"/>
        <v>1254.168</v>
      </c>
      <c r="G72" s="7">
        <f t="shared" si="4"/>
        <v>2508.336</v>
      </c>
    </row>
    <row r="73">
      <c r="A73" s="8">
        <f t="shared" si="5"/>
        <v>72</v>
      </c>
      <c r="B73" s="16" t="s">
        <v>160</v>
      </c>
      <c r="C73" s="7">
        <v>18081.0</v>
      </c>
      <c r="D73" s="7">
        <f t="shared" si="2"/>
        <v>10848.6</v>
      </c>
      <c r="E73" s="7">
        <f t="shared" ref="E73:F73" si="75">if($D73&lt;15000,$D73*12/100,15000*12/100)</f>
        <v>1301.832</v>
      </c>
      <c r="F73" s="7">
        <f t="shared" si="75"/>
        <v>1301.832</v>
      </c>
      <c r="G73" s="7">
        <f t="shared" si="4"/>
        <v>2603.664</v>
      </c>
    </row>
    <row r="74">
      <c r="A74" s="8">
        <f t="shared" si="5"/>
        <v>73</v>
      </c>
      <c r="B74" s="16" t="s">
        <v>161</v>
      </c>
      <c r="C74" s="7">
        <v>14000.0</v>
      </c>
      <c r="D74" s="7">
        <f t="shared" si="2"/>
        <v>8400</v>
      </c>
      <c r="E74" s="7">
        <f t="shared" ref="E74:F74" si="76">if($D74&lt;15000,$D74*12/100,15000*12/100)</f>
        <v>1008</v>
      </c>
      <c r="F74" s="7">
        <f t="shared" si="76"/>
        <v>1008</v>
      </c>
      <c r="G74" s="7">
        <f t="shared" si="4"/>
        <v>2016</v>
      </c>
    </row>
    <row r="75">
      <c r="A75" s="8">
        <f t="shared" si="5"/>
        <v>74</v>
      </c>
      <c r="B75" s="16" t="s">
        <v>167</v>
      </c>
      <c r="C75" s="7">
        <v>22629.0</v>
      </c>
      <c r="D75" s="7">
        <f t="shared" si="2"/>
        <v>13577.4</v>
      </c>
      <c r="E75" s="7">
        <f t="shared" ref="E75:F75" si="77">if($D75&lt;15000,$D75*12/100,15000*12/100)</f>
        <v>1629.288</v>
      </c>
      <c r="F75" s="7">
        <f t="shared" si="77"/>
        <v>1629.288</v>
      </c>
      <c r="G75" s="7">
        <f t="shared" si="4"/>
        <v>3258.576</v>
      </c>
    </row>
    <row r="76">
      <c r="A76" s="9" t="s">
        <v>34</v>
      </c>
      <c r="B76" s="10"/>
      <c r="C76" s="11">
        <f t="shared" ref="C76:G76" si="78">sum(C2:C75)</f>
        <v>1715422</v>
      </c>
      <c r="D76" s="11">
        <f t="shared" si="78"/>
        <v>1029253.2</v>
      </c>
      <c r="E76" s="11">
        <f t="shared" si="78"/>
        <v>98172.144</v>
      </c>
      <c r="F76" s="11">
        <f t="shared" si="78"/>
        <v>98172.144</v>
      </c>
      <c r="G76" s="11">
        <f t="shared" si="78"/>
        <v>196344.288</v>
      </c>
    </row>
  </sheetData>
  <mergeCells count="1">
    <mergeCell ref="A76:B76"/>
  </mergeCells>
  <hyperlinks>
    <hyperlink r:id="rId1" ref="A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1" t="s">
        <v>166</v>
      </c>
      <c r="C2" s="22">
        <v>17000.0</v>
      </c>
      <c r="D2" s="7">
        <f t="shared" ref="D2:D80" si="2">C2*60/100</f>
        <v>10200</v>
      </c>
      <c r="E2" s="7">
        <f t="shared" ref="E2:F2" si="1">if($D2&lt;15000,$D2*12/100,15000*12/100)</f>
        <v>1224</v>
      </c>
      <c r="F2" s="7">
        <f t="shared" si="1"/>
        <v>1224</v>
      </c>
      <c r="G2" s="7">
        <f t="shared" ref="G2:G80" si="4">E2+F2</f>
        <v>2448</v>
      </c>
    </row>
    <row r="3">
      <c r="A3" s="8">
        <f t="shared" ref="A3:A80" si="5">A2+1</f>
        <v>2</v>
      </c>
      <c r="B3" s="21" t="s">
        <v>136</v>
      </c>
      <c r="C3" s="22">
        <v>35000.0</v>
      </c>
      <c r="D3" s="7">
        <f t="shared" si="2"/>
        <v>21000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1" t="s">
        <v>117</v>
      </c>
      <c r="C4" s="22">
        <v>17000.0</v>
      </c>
      <c r="D4" s="7">
        <f t="shared" si="2"/>
        <v>10200</v>
      </c>
      <c r="E4" s="7">
        <f t="shared" ref="E4:F4" si="6">if($D4&lt;15000,$D4*12/100,15000*12/100)</f>
        <v>1224</v>
      </c>
      <c r="F4" s="7">
        <f t="shared" si="6"/>
        <v>1224</v>
      </c>
      <c r="G4" s="7">
        <f t="shared" si="4"/>
        <v>2448</v>
      </c>
    </row>
    <row r="5">
      <c r="A5" s="8">
        <f t="shared" si="5"/>
        <v>4</v>
      </c>
      <c r="B5" s="21" t="s">
        <v>172</v>
      </c>
      <c r="C5" s="22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1" t="s">
        <v>101</v>
      </c>
      <c r="C6" s="22">
        <v>53167.0</v>
      </c>
      <c r="D6" s="7">
        <f t="shared" si="2"/>
        <v>31900.2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21" t="s">
        <v>183</v>
      </c>
      <c r="C7" s="22">
        <v>16433.0</v>
      </c>
      <c r="D7" s="7">
        <f t="shared" si="2"/>
        <v>9859.8</v>
      </c>
      <c r="E7" s="7">
        <f t="shared" ref="E7:F7" si="9">if($D7&lt;15000,$D7*12/100,15000*12/100)</f>
        <v>1183.176</v>
      </c>
      <c r="F7" s="7">
        <f t="shared" si="9"/>
        <v>1183.176</v>
      </c>
      <c r="G7" s="7">
        <f t="shared" si="4"/>
        <v>2366.352</v>
      </c>
    </row>
    <row r="8">
      <c r="A8" s="8">
        <f t="shared" si="5"/>
        <v>7</v>
      </c>
      <c r="B8" s="21" t="s">
        <v>116</v>
      </c>
      <c r="C8" s="22">
        <v>30000.0</v>
      </c>
      <c r="D8" s="7">
        <f t="shared" si="2"/>
        <v>18000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1" t="s">
        <v>163</v>
      </c>
      <c r="C9" s="22">
        <v>8000.0</v>
      </c>
      <c r="D9" s="7">
        <f t="shared" si="2"/>
        <v>4800</v>
      </c>
      <c r="E9" s="7">
        <f t="shared" ref="E9:F9" si="11">if($D9&lt;15000,$D9*12/100,15000*12/100)</f>
        <v>576</v>
      </c>
      <c r="F9" s="7">
        <f t="shared" si="11"/>
        <v>576</v>
      </c>
      <c r="G9" s="7">
        <f t="shared" si="4"/>
        <v>1152</v>
      </c>
    </row>
    <row r="10">
      <c r="A10" s="8">
        <f t="shared" si="5"/>
        <v>9</v>
      </c>
      <c r="B10" s="21" t="s">
        <v>181</v>
      </c>
      <c r="C10" s="22">
        <v>22000.0</v>
      </c>
      <c r="D10" s="7">
        <f t="shared" si="2"/>
        <v>13200</v>
      </c>
      <c r="E10" s="7">
        <f t="shared" ref="E10:F10" si="12">if($D10&lt;15000,$D10*12/100,15000*12/100)</f>
        <v>1584</v>
      </c>
      <c r="F10" s="7">
        <f t="shared" si="12"/>
        <v>1584</v>
      </c>
      <c r="G10" s="7">
        <f t="shared" si="4"/>
        <v>3168</v>
      </c>
    </row>
    <row r="11">
      <c r="A11" s="8">
        <f t="shared" si="5"/>
        <v>10</v>
      </c>
      <c r="B11" s="21" t="s">
        <v>121</v>
      </c>
      <c r="C11" s="22">
        <v>16000.0</v>
      </c>
      <c r="D11" s="7">
        <f t="shared" si="2"/>
        <v>9600</v>
      </c>
      <c r="E11" s="7">
        <f t="shared" ref="E11:F11" si="13">if($D11&lt;15000,$D11*12/100,15000*12/100)</f>
        <v>1152</v>
      </c>
      <c r="F11" s="7">
        <f t="shared" si="13"/>
        <v>1152</v>
      </c>
      <c r="G11" s="7">
        <f t="shared" si="4"/>
        <v>2304</v>
      </c>
    </row>
    <row r="12">
      <c r="A12" s="8">
        <f t="shared" si="5"/>
        <v>11</v>
      </c>
      <c r="B12" s="21" t="s">
        <v>102</v>
      </c>
      <c r="C12" s="22">
        <v>65000.0</v>
      </c>
      <c r="D12" s="7">
        <f t="shared" si="2"/>
        <v>39000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1" t="s">
        <v>100</v>
      </c>
      <c r="C13" s="22">
        <v>75000.0</v>
      </c>
      <c r="D13" s="7">
        <f t="shared" si="2"/>
        <v>45000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1" t="s">
        <v>139</v>
      </c>
      <c r="C14" s="22">
        <v>18667.0</v>
      </c>
      <c r="D14" s="7">
        <f t="shared" si="2"/>
        <v>11200.2</v>
      </c>
      <c r="E14" s="7">
        <f t="shared" ref="E14:F14" si="16">if($D14&lt;15000,$D14*12/100,15000*12/100)</f>
        <v>1344.024</v>
      </c>
      <c r="F14" s="7">
        <f t="shared" si="16"/>
        <v>1344.024</v>
      </c>
      <c r="G14" s="7">
        <f t="shared" si="4"/>
        <v>2688.048</v>
      </c>
    </row>
    <row r="15">
      <c r="A15" s="8">
        <f t="shared" si="5"/>
        <v>14</v>
      </c>
      <c r="B15" s="21" t="s">
        <v>107</v>
      </c>
      <c r="C15" s="22">
        <v>19250.0</v>
      </c>
      <c r="D15" s="7">
        <f t="shared" si="2"/>
        <v>11550</v>
      </c>
      <c r="E15" s="7">
        <f t="shared" ref="E15:F15" si="17">if($D15&lt;15000,$D15*12/100,15000*12/100)</f>
        <v>1386</v>
      </c>
      <c r="F15" s="7">
        <f t="shared" si="17"/>
        <v>1386</v>
      </c>
      <c r="G15" s="7">
        <f t="shared" si="4"/>
        <v>2772</v>
      </c>
    </row>
    <row r="16">
      <c r="A16" s="8">
        <f t="shared" si="5"/>
        <v>15</v>
      </c>
      <c r="B16" s="21" t="s">
        <v>132</v>
      </c>
      <c r="C16" s="22">
        <v>22000.0</v>
      </c>
      <c r="D16" s="7">
        <f t="shared" si="2"/>
        <v>13200</v>
      </c>
      <c r="E16" s="7">
        <f t="shared" ref="E16:F16" si="18">if($D16&lt;15000,$D16*12/100,15000*12/100)</f>
        <v>1584</v>
      </c>
      <c r="F16" s="7">
        <f t="shared" si="18"/>
        <v>1584</v>
      </c>
      <c r="G16" s="7">
        <f t="shared" si="4"/>
        <v>3168</v>
      </c>
    </row>
    <row r="17">
      <c r="A17" s="8">
        <f t="shared" si="5"/>
        <v>16</v>
      </c>
      <c r="B17" s="21" t="s">
        <v>184</v>
      </c>
      <c r="C17" s="22">
        <v>21000.0</v>
      </c>
      <c r="D17" s="7">
        <f t="shared" si="2"/>
        <v>12600</v>
      </c>
      <c r="E17" s="7">
        <f t="shared" ref="E17:F17" si="19">if($D17&lt;15000,$D17*12/100,15000*12/100)</f>
        <v>1512</v>
      </c>
      <c r="F17" s="7">
        <f t="shared" si="19"/>
        <v>1512</v>
      </c>
      <c r="G17" s="7">
        <f t="shared" si="4"/>
        <v>3024</v>
      </c>
    </row>
    <row r="18">
      <c r="A18" s="8">
        <f t="shared" si="5"/>
        <v>17</v>
      </c>
      <c r="B18" s="21" t="s">
        <v>108</v>
      </c>
      <c r="C18" s="22">
        <v>25000.0</v>
      </c>
      <c r="D18" s="7">
        <f t="shared" si="2"/>
        <v>15000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1" t="s">
        <v>140</v>
      </c>
      <c r="C19" s="22">
        <v>20000.0</v>
      </c>
      <c r="D19" s="7">
        <f t="shared" si="2"/>
        <v>12000</v>
      </c>
      <c r="E19" s="7">
        <f t="shared" ref="E19:F19" si="21">if($D19&lt;15000,$D19*12/100,15000*12/100)</f>
        <v>1440</v>
      </c>
      <c r="F19" s="7">
        <f t="shared" si="21"/>
        <v>1440</v>
      </c>
      <c r="G19" s="7">
        <f t="shared" si="4"/>
        <v>2880</v>
      </c>
    </row>
    <row r="20">
      <c r="A20" s="8">
        <f t="shared" si="5"/>
        <v>19</v>
      </c>
      <c r="B20" s="21" t="s">
        <v>127</v>
      </c>
      <c r="C20" s="22">
        <v>19250.0</v>
      </c>
      <c r="D20" s="7">
        <f t="shared" si="2"/>
        <v>11550</v>
      </c>
      <c r="E20" s="7">
        <f t="shared" ref="E20:F20" si="22">if($D20&lt;15000,$D20*12/100,15000*12/100)</f>
        <v>1386</v>
      </c>
      <c r="F20" s="7">
        <f t="shared" si="22"/>
        <v>1386</v>
      </c>
      <c r="G20" s="7">
        <f t="shared" si="4"/>
        <v>2772</v>
      </c>
    </row>
    <row r="21">
      <c r="A21" s="8">
        <f t="shared" si="5"/>
        <v>20</v>
      </c>
      <c r="B21" s="21" t="s">
        <v>169</v>
      </c>
      <c r="C21" s="22">
        <v>6000.0</v>
      </c>
      <c r="D21" s="7">
        <f t="shared" si="2"/>
        <v>3600</v>
      </c>
      <c r="E21" s="7">
        <f t="shared" ref="E21:F21" si="23">if($D21&lt;15000,$D21*12/100,15000*12/100)</f>
        <v>432</v>
      </c>
      <c r="F21" s="7">
        <f t="shared" si="23"/>
        <v>432</v>
      </c>
      <c r="G21" s="7">
        <f t="shared" si="4"/>
        <v>864</v>
      </c>
    </row>
    <row r="22">
      <c r="A22" s="8">
        <f t="shared" si="5"/>
        <v>21</v>
      </c>
      <c r="B22" s="21" t="s">
        <v>135</v>
      </c>
      <c r="C22" s="22">
        <v>24167.0</v>
      </c>
      <c r="D22" s="7">
        <f t="shared" si="2"/>
        <v>14500.2</v>
      </c>
      <c r="E22" s="7">
        <f t="shared" ref="E22:F22" si="24">if($D22&lt;15000,$D22*12/100,15000*12/100)</f>
        <v>1740.024</v>
      </c>
      <c r="F22" s="7">
        <f t="shared" si="24"/>
        <v>1740.024</v>
      </c>
      <c r="G22" s="7">
        <f t="shared" si="4"/>
        <v>3480.048</v>
      </c>
    </row>
    <row r="23">
      <c r="A23" s="8">
        <f t="shared" si="5"/>
        <v>22</v>
      </c>
      <c r="B23" s="21" t="s">
        <v>133</v>
      </c>
      <c r="C23" s="22">
        <v>17000.0</v>
      </c>
      <c r="D23" s="7">
        <f t="shared" si="2"/>
        <v>10200</v>
      </c>
      <c r="E23" s="7">
        <f t="shared" ref="E23:F23" si="25">if($D23&lt;15000,$D23*12/100,15000*12/100)</f>
        <v>1224</v>
      </c>
      <c r="F23" s="7">
        <f t="shared" si="25"/>
        <v>1224</v>
      </c>
      <c r="G23" s="7">
        <f t="shared" si="4"/>
        <v>2448</v>
      </c>
    </row>
    <row r="24">
      <c r="A24" s="8">
        <f t="shared" si="5"/>
        <v>23</v>
      </c>
      <c r="B24" s="21" t="s">
        <v>105</v>
      </c>
      <c r="C24" s="22">
        <v>29000.0</v>
      </c>
      <c r="D24" s="7">
        <f t="shared" si="2"/>
        <v>17400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21" t="s">
        <v>111</v>
      </c>
      <c r="C25" s="22">
        <v>30000.0</v>
      </c>
      <c r="D25" s="7">
        <f t="shared" si="2"/>
        <v>18000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21" t="s">
        <v>143</v>
      </c>
      <c r="C26" s="22">
        <v>16433.0</v>
      </c>
      <c r="D26" s="7">
        <f t="shared" si="2"/>
        <v>9859.8</v>
      </c>
      <c r="E26" s="7">
        <f t="shared" ref="E26:F26" si="28">if($D26&lt;15000,$D26*12/100,15000*12/100)</f>
        <v>1183.176</v>
      </c>
      <c r="F26" s="7">
        <f t="shared" si="28"/>
        <v>1183.176</v>
      </c>
      <c r="G26" s="7">
        <f t="shared" si="4"/>
        <v>2366.352</v>
      </c>
    </row>
    <row r="27">
      <c r="A27" s="8">
        <f t="shared" si="5"/>
        <v>26</v>
      </c>
      <c r="B27" s="21" t="s">
        <v>151</v>
      </c>
      <c r="C27" s="22">
        <v>21000.0</v>
      </c>
      <c r="D27" s="7">
        <f t="shared" si="2"/>
        <v>12600</v>
      </c>
      <c r="E27" s="7">
        <f t="shared" ref="E27:F27" si="29">if($D27&lt;15000,$D27*12/100,15000*12/100)</f>
        <v>1512</v>
      </c>
      <c r="F27" s="7">
        <f t="shared" si="29"/>
        <v>1512</v>
      </c>
      <c r="G27" s="7">
        <f t="shared" si="4"/>
        <v>3024</v>
      </c>
    </row>
    <row r="28">
      <c r="A28" s="8">
        <f t="shared" si="5"/>
        <v>27</v>
      </c>
      <c r="B28" s="21" t="s">
        <v>182</v>
      </c>
      <c r="C28" s="22">
        <v>16000.0</v>
      </c>
      <c r="D28" s="7">
        <f t="shared" si="2"/>
        <v>9600</v>
      </c>
      <c r="E28" s="7">
        <f t="shared" ref="E28:F28" si="30">if($D28&lt;15000,$D28*12/100,15000*12/100)</f>
        <v>1152</v>
      </c>
      <c r="F28" s="7">
        <f t="shared" si="30"/>
        <v>1152</v>
      </c>
      <c r="G28" s="7">
        <f t="shared" si="4"/>
        <v>2304</v>
      </c>
    </row>
    <row r="29">
      <c r="A29" s="8">
        <f t="shared" si="5"/>
        <v>28</v>
      </c>
      <c r="B29" s="21" t="s">
        <v>185</v>
      </c>
      <c r="C29" s="22">
        <v>18000.0</v>
      </c>
      <c r="D29" s="7">
        <f t="shared" si="2"/>
        <v>10800</v>
      </c>
      <c r="E29" s="7">
        <f t="shared" ref="E29:F29" si="31">if($D29&lt;15000,$D29*12/100,15000*12/100)</f>
        <v>1296</v>
      </c>
      <c r="F29" s="7">
        <f t="shared" si="31"/>
        <v>1296</v>
      </c>
      <c r="G29" s="7">
        <f t="shared" si="4"/>
        <v>2592</v>
      </c>
    </row>
    <row r="30">
      <c r="A30" s="8">
        <f t="shared" si="5"/>
        <v>29</v>
      </c>
      <c r="B30" s="21" t="s">
        <v>164</v>
      </c>
      <c r="C30" s="22">
        <v>20000.0</v>
      </c>
      <c r="D30" s="7">
        <f t="shared" si="2"/>
        <v>12000</v>
      </c>
      <c r="E30" s="7">
        <f t="shared" ref="E30:F30" si="32">if($D30&lt;15000,$D30*12/100,15000*12/100)</f>
        <v>1440</v>
      </c>
      <c r="F30" s="7">
        <f t="shared" si="32"/>
        <v>1440</v>
      </c>
      <c r="G30" s="7">
        <f t="shared" si="4"/>
        <v>2880</v>
      </c>
    </row>
    <row r="31">
      <c r="A31" s="8">
        <f t="shared" si="5"/>
        <v>30</v>
      </c>
      <c r="B31" s="21" t="s">
        <v>106</v>
      </c>
      <c r="C31" s="22">
        <v>23000.0</v>
      </c>
      <c r="D31" s="7">
        <f t="shared" si="2"/>
        <v>13800</v>
      </c>
      <c r="E31" s="7">
        <f t="shared" ref="E31:F31" si="33">if($D31&lt;15000,$D31*12/100,15000*12/100)</f>
        <v>1656</v>
      </c>
      <c r="F31" s="7">
        <f t="shared" si="33"/>
        <v>1656</v>
      </c>
      <c r="G31" s="7">
        <f t="shared" si="4"/>
        <v>3312</v>
      </c>
    </row>
    <row r="32">
      <c r="A32" s="8">
        <f t="shared" si="5"/>
        <v>31</v>
      </c>
      <c r="B32" s="21" t="s">
        <v>120</v>
      </c>
      <c r="C32" s="22">
        <v>24167.0</v>
      </c>
      <c r="D32" s="7">
        <f t="shared" si="2"/>
        <v>14500.2</v>
      </c>
      <c r="E32" s="7">
        <f t="shared" ref="E32:F32" si="34">if($D32&lt;15000,$D32*12/100,15000*12/100)</f>
        <v>1740.024</v>
      </c>
      <c r="F32" s="7">
        <f t="shared" si="34"/>
        <v>1740.024</v>
      </c>
      <c r="G32" s="7">
        <f t="shared" si="4"/>
        <v>3480.048</v>
      </c>
    </row>
    <row r="33">
      <c r="A33" s="8">
        <f t="shared" si="5"/>
        <v>32</v>
      </c>
      <c r="B33" s="21" t="s">
        <v>152</v>
      </c>
      <c r="C33" s="22">
        <v>8000.0</v>
      </c>
      <c r="D33" s="7">
        <f t="shared" si="2"/>
        <v>4800</v>
      </c>
      <c r="E33" s="7">
        <f t="shared" ref="E33:F33" si="35">if($D33&lt;15000,$D33*12/100,15000*12/100)</f>
        <v>576</v>
      </c>
      <c r="F33" s="7">
        <f t="shared" si="35"/>
        <v>576</v>
      </c>
      <c r="G33" s="7">
        <f t="shared" si="4"/>
        <v>1152</v>
      </c>
    </row>
    <row r="34">
      <c r="A34" s="8">
        <f t="shared" si="5"/>
        <v>33</v>
      </c>
      <c r="B34" s="21" t="s">
        <v>130</v>
      </c>
      <c r="C34" s="22">
        <v>16000.0</v>
      </c>
      <c r="D34" s="7">
        <f t="shared" si="2"/>
        <v>9600</v>
      </c>
      <c r="E34" s="7">
        <f t="shared" ref="E34:F34" si="36">if($D34&lt;15000,$D34*12/100,15000*12/100)</f>
        <v>1152</v>
      </c>
      <c r="F34" s="7">
        <f t="shared" si="36"/>
        <v>1152</v>
      </c>
      <c r="G34" s="7">
        <f t="shared" si="4"/>
        <v>2304</v>
      </c>
    </row>
    <row r="35">
      <c r="A35" s="8">
        <f t="shared" si="5"/>
        <v>34</v>
      </c>
      <c r="B35" s="21" t="s">
        <v>123</v>
      </c>
      <c r="C35" s="22">
        <v>8000.0</v>
      </c>
      <c r="D35" s="7">
        <f t="shared" si="2"/>
        <v>4800</v>
      </c>
      <c r="E35" s="7">
        <f t="shared" ref="E35:F35" si="37">if($D35&lt;15000,$D35*12/100,15000*12/100)</f>
        <v>576</v>
      </c>
      <c r="F35" s="7">
        <f t="shared" si="37"/>
        <v>576</v>
      </c>
      <c r="G35" s="7">
        <f t="shared" si="4"/>
        <v>1152</v>
      </c>
    </row>
    <row r="36">
      <c r="A36" s="8">
        <f t="shared" si="5"/>
        <v>35</v>
      </c>
      <c r="B36" s="21" t="s">
        <v>128</v>
      </c>
      <c r="C36" s="22">
        <v>6000.0</v>
      </c>
      <c r="D36" s="7">
        <f t="shared" si="2"/>
        <v>3600</v>
      </c>
      <c r="E36" s="7">
        <f t="shared" ref="E36:F36" si="38">if($D36&lt;15000,$D36*12/100,15000*12/100)</f>
        <v>432</v>
      </c>
      <c r="F36" s="7">
        <f t="shared" si="38"/>
        <v>432</v>
      </c>
      <c r="G36" s="7">
        <f t="shared" si="4"/>
        <v>864</v>
      </c>
    </row>
    <row r="37">
      <c r="A37" s="8">
        <f t="shared" si="5"/>
        <v>36</v>
      </c>
      <c r="B37" s="21" t="s">
        <v>175</v>
      </c>
      <c r="C37" s="22">
        <v>18667.0</v>
      </c>
      <c r="D37" s="7">
        <f t="shared" si="2"/>
        <v>11200.2</v>
      </c>
      <c r="E37" s="7">
        <f t="shared" ref="E37:F37" si="39">if($D37&lt;15000,$D37*12/100,15000*12/100)</f>
        <v>1344.024</v>
      </c>
      <c r="F37" s="7">
        <f t="shared" si="39"/>
        <v>1344.024</v>
      </c>
      <c r="G37" s="7">
        <f t="shared" si="4"/>
        <v>2688.048</v>
      </c>
    </row>
    <row r="38">
      <c r="A38" s="8">
        <f t="shared" si="5"/>
        <v>37</v>
      </c>
      <c r="B38" s="23" t="s">
        <v>104</v>
      </c>
      <c r="C38" s="22">
        <v>33000.0</v>
      </c>
      <c r="D38" s="7">
        <f t="shared" si="2"/>
        <v>19800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23" t="s">
        <v>186</v>
      </c>
      <c r="C39" s="22">
        <v>12000.0</v>
      </c>
      <c r="D39" s="7">
        <f t="shared" si="2"/>
        <v>7200</v>
      </c>
      <c r="E39" s="7">
        <f t="shared" ref="E39:F39" si="41">if($D39&lt;15000,$D39*12/100,15000*12/100)</f>
        <v>864</v>
      </c>
      <c r="F39" s="7">
        <f t="shared" si="41"/>
        <v>864</v>
      </c>
      <c r="G39" s="7">
        <f t="shared" si="4"/>
        <v>1728</v>
      </c>
    </row>
    <row r="40">
      <c r="A40" s="8">
        <f t="shared" si="5"/>
        <v>39</v>
      </c>
      <c r="B40" s="23" t="s">
        <v>180</v>
      </c>
      <c r="C40" s="22">
        <v>17000.0</v>
      </c>
      <c r="D40" s="7">
        <f t="shared" si="2"/>
        <v>10200</v>
      </c>
      <c r="E40" s="7">
        <f t="shared" ref="E40:F40" si="42">if($D40&lt;15000,$D40*12/100,15000*12/100)</f>
        <v>1224</v>
      </c>
      <c r="F40" s="7">
        <f t="shared" si="42"/>
        <v>1224</v>
      </c>
      <c r="G40" s="7">
        <f t="shared" si="4"/>
        <v>2448</v>
      </c>
    </row>
    <row r="41">
      <c r="A41" s="8">
        <f t="shared" si="5"/>
        <v>40</v>
      </c>
      <c r="B41" s="23" t="s">
        <v>114</v>
      </c>
      <c r="C41" s="22">
        <v>27067.0</v>
      </c>
      <c r="D41" s="7">
        <f t="shared" si="2"/>
        <v>16240.2</v>
      </c>
      <c r="E41" s="7">
        <f t="shared" ref="E41:F41" si="43">if($D41&lt;15000,$D41*12/100,15000*12/100)</f>
        <v>1800</v>
      </c>
      <c r="F41" s="7">
        <f t="shared" si="43"/>
        <v>1800</v>
      </c>
      <c r="G41" s="7">
        <f t="shared" si="4"/>
        <v>3600</v>
      </c>
    </row>
    <row r="42">
      <c r="A42" s="8">
        <f t="shared" si="5"/>
        <v>41</v>
      </c>
      <c r="B42" s="23" t="s">
        <v>126</v>
      </c>
      <c r="C42" s="22">
        <v>23333.0</v>
      </c>
      <c r="D42" s="7">
        <f t="shared" si="2"/>
        <v>13999.8</v>
      </c>
      <c r="E42" s="7">
        <f t="shared" ref="E42:F42" si="44">if($D42&lt;15000,$D42*12/100,15000*12/100)</f>
        <v>1679.976</v>
      </c>
      <c r="F42" s="7">
        <f t="shared" si="44"/>
        <v>1679.976</v>
      </c>
      <c r="G42" s="7">
        <f t="shared" si="4"/>
        <v>3359.952</v>
      </c>
    </row>
    <row r="43">
      <c r="A43" s="8">
        <f t="shared" si="5"/>
        <v>42</v>
      </c>
      <c r="B43" s="23" t="s">
        <v>129</v>
      </c>
      <c r="C43" s="22">
        <v>16433.0</v>
      </c>
      <c r="D43" s="7">
        <f t="shared" si="2"/>
        <v>9859.8</v>
      </c>
      <c r="E43" s="7">
        <f t="shared" ref="E43:F43" si="45">if($D43&lt;15000,$D43*12/100,15000*12/100)</f>
        <v>1183.176</v>
      </c>
      <c r="F43" s="7">
        <f t="shared" si="45"/>
        <v>1183.176</v>
      </c>
      <c r="G43" s="7">
        <f t="shared" si="4"/>
        <v>2366.352</v>
      </c>
    </row>
    <row r="44">
      <c r="A44" s="8">
        <f t="shared" si="5"/>
        <v>43</v>
      </c>
      <c r="B44" s="23" t="s">
        <v>174</v>
      </c>
      <c r="C44" s="22">
        <v>72000.0</v>
      </c>
      <c r="D44" s="7">
        <f t="shared" si="2"/>
        <v>43200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23" t="s">
        <v>137</v>
      </c>
      <c r="C45" s="22">
        <v>32000.0</v>
      </c>
      <c r="D45" s="7">
        <f t="shared" si="2"/>
        <v>19200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23" t="s">
        <v>187</v>
      </c>
      <c r="C46" s="22">
        <v>14750.0</v>
      </c>
      <c r="D46" s="7">
        <f t="shared" si="2"/>
        <v>8850</v>
      </c>
      <c r="E46" s="7">
        <f t="shared" ref="E46:F46" si="48">if($D46&lt;15000,$D46*12/100,15000*12/100)</f>
        <v>1062</v>
      </c>
      <c r="F46" s="7">
        <f t="shared" si="48"/>
        <v>1062</v>
      </c>
      <c r="G46" s="7">
        <f t="shared" si="4"/>
        <v>2124</v>
      </c>
    </row>
    <row r="47">
      <c r="A47" s="8">
        <f t="shared" si="5"/>
        <v>46</v>
      </c>
      <c r="B47" s="23" t="s">
        <v>176</v>
      </c>
      <c r="C47" s="22">
        <v>18000.0</v>
      </c>
      <c r="D47" s="7">
        <f t="shared" si="2"/>
        <v>10800</v>
      </c>
      <c r="E47" s="7">
        <f t="shared" ref="E47:F47" si="49">if($D47&lt;15000,$D47*12/100,15000*12/100)</f>
        <v>1296</v>
      </c>
      <c r="F47" s="7">
        <f t="shared" si="49"/>
        <v>1296</v>
      </c>
      <c r="G47" s="7">
        <f t="shared" si="4"/>
        <v>2592</v>
      </c>
    </row>
    <row r="48">
      <c r="A48" s="8">
        <f t="shared" si="5"/>
        <v>47</v>
      </c>
      <c r="B48" s="23" t="s">
        <v>118</v>
      </c>
      <c r="C48" s="22">
        <v>22083.0</v>
      </c>
      <c r="D48" s="7">
        <f t="shared" si="2"/>
        <v>13249.8</v>
      </c>
      <c r="E48" s="7">
        <f t="shared" ref="E48:F48" si="50">if($D48&lt;15000,$D48*12/100,15000*12/100)</f>
        <v>1589.976</v>
      </c>
      <c r="F48" s="7">
        <f t="shared" si="50"/>
        <v>1589.976</v>
      </c>
      <c r="G48" s="7">
        <f t="shared" si="4"/>
        <v>3179.952</v>
      </c>
    </row>
    <row r="49">
      <c r="A49" s="8">
        <f t="shared" si="5"/>
        <v>48</v>
      </c>
      <c r="B49" s="23" t="s">
        <v>115</v>
      </c>
      <c r="C49" s="22">
        <v>9000.0</v>
      </c>
      <c r="D49" s="7">
        <f t="shared" si="2"/>
        <v>5400</v>
      </c>
      <c r="E49" s="7">
        <f t="shared" ref="E49:F49" si="51">if($D49&lt;15000,$D49*12/100,15000*12/100)</f>
        <v>648</v>
      </c>
      <c r="F49" s="7">
        <f t="shared" si="51"/>
        <v>648</v>
      </c>
      <c r="G49" s="7">
        <f t="shared" si="4"/>
        <v>1296</v>
      </c>
    </row>
    <row r="50">
      <c r="A50" s="8">
        <f t="shared" si="5"/>
        <v>49</v>
      </c>
      <c r="B50" s="23" t="s">
        <v>148</v>
      </c>
      <c r="C50" s="22">
        <v>19933.0</v>
      </c>
      <c r="D50" s="7">
        <f t="shared" si="2"/>
        <v>11959.8</v>
      </c>
      <c r="E50" s="7">
        <f t="shared" ref="E50:F50" si="52">if($D50&lt;15000,$D50*12/100,15000*12/100)</f>
        <v>1435.176</v>
      </c>
      <c r="F50" s="7">
        <f t="shared" si="52"/>
        <v>1435.176</v>
      </c>
      <c r="G50" s="7">
        <f t="shared" si="4"/>
        <v>2870.352</v>
      </c>
    </row>
    <row r="51">
      <c r="A51" s="8">
        <f t="shared" si="5"/>
        <v>50</v>
      </c>
      <c r="B51" s="23" t="s">
        <v>150</v>
      </c>
      <c r="C51" s="22">
        <v>18000.0</v>
      </c>
      <c r="D51" s="7">
        <f t="shared" si="2"/>
        <v>10800</v>
      </c>
      <c r="E51" s="7">
        <f t="shared" ref="E51:F51" si="53">if($D51&lt;15000,$D51*12/100,15000*12/100)</f>
        <v>1296</v>
      </c>
      <c r="F51" s="7">
        <f t="shared" si="53"/>
        <v>1296</v>
      </c>
      <c r="G51" s="7">
        <f t="shared" si="4"/>
        <v>2592</v>
      </c>
    </row>
    <row r="52">
      <c r="A52" s="8">
        <f t="shared" si="5"/>
        <v>51</v>
      </c>
      <c r="B52" s="23" t="s">
        <v>122</v>
      </c>
      <c r="C52" s="22">
        <v>16000.0</v>
      </c>
      <c r="D52" s="7">
        <f t="shared" si="2"/>
        <v>9600</v>
      </c>
      <c r="E52" s="7">
        <f t="shared" ref="E52:F52" si="54">if($D52&lt;15000,$D52*12/100,15000*12/100)</f>
        <v>1152</v>
      </c>
      <c r="F52" s="7">
        <f t="shared" si="54"/>
        <v>1152</v>
      </c>
      <c r="G52" s="7">
        <f t="shared" si="4"/>
        <v>2304</v>
      </c>
    </row>
    <row r="53">
      <c r="A53" s="8">
        <f t="shared" si="5"/>
        <v>52</v>
      </c>
      <c r="B53" s="23" t="s">
        <v>162</v>
      </c>
      <c r="C53" s="22">
        <v>20900.0</v>
      </c>
      <c r="D53" s="7">
        <f t="shared" si="2"/>
        <v>12540</v>
      </c>
      <c r="E53" s="7">
        <f t="shared" ref="E53:F53" si="55">if($D53&lt;15000,$D53*12/100,15000*12/100)</f>
        <v>1504.8</v>
      </c>
      <c r="F53" s="7">
        <f t="shared" si="55"/>
        <v>1504.8</v>
      </c>
      <c r="G53" s="7">
        <f t="shared" si="4"/>
        <v>3009.6</v>
      </c>
    </row>
    <row r="54">
      <c r="A54" s="8">
        <f t="shared" si="5"/>
        <v>53</v>
      </c>
      <c r="B54" s="23" t="s">
        <v>119</v>
      </c>
      <c r="C54" s="22">
        <v>24167.0</v>
      </c>
      <c r="D54" s="7">
        <f t="shared" si="2"/>
        <v>14500.2</v>
      </c>
      <c r="E54" s="7">
        <f t="shared" ref="E54:F54" si="56">if($D54&lt;15000,$D54*12/100,15000*12/100)</f>
        <v>1740.024</v>
      </c>
      <c r="F54" s="7">
        <f t="shared" si="56"/>
        <v>1740.024</v>
      </c>
      <c r="G54" s="7">
        <f t="shared" si="4"/>
        <v>3480.048</v>
      </c>
    </row>
    <row r="55">
      <c r="A55" s="8">
        <f t="shared" si="5"/>
        <v>54</v>
      </c>
      <c r="B55" s="23" t="s">
        <v>145</v>
      </c>
      <c r="C55" s="22">
        <v>33833.0</v>
      </c>
      <c r="D55" s="7">
        <f t="shared" si="2"/>
        <v>20299.8</v>
      </c>
      <c r="E55" s="7">
        <f t="shared" ref="E55:F55" si="57">if($D55&lt;15000,$D55*12/100,15000*12/100)</f>
        <v>1800</v>
      </c>
      <c r="F55" s="7">
        <f t="shared" si="57"/>
        <v>1800</v>
      </c>
      <c r="G55" s="7">
        <f t="shared" si="4"/>
        <v>3600</v>
      </c>
    </row>
    <row r="56">
      <c r="A56" s="8">
        <f t="shared" si="5"/>
        <v>55</v>
      </c>
      <c r="B56" s="23" t="s">
        <v>112</v>
      </c>
      <c r="C56" s="22">
        <v>36000.0</v>
      </c>
      <c r="D56" s="7">
        <f t="shared" si="2"/>
        <v>21600</v>
      </c>
      <c r="E56" s="7">
        <f t="shared" ref="E56:F56" si="58">if($D56&lt;15000,$D56*12/100,15000*12/100)</f>
        <v>1800</v>
      </c>
      <c r="F56" s="7">
        <f t="shared" si="58"/>
        <v>1800</v>
      </c>
      <c r="G56" s="7">
        <f t="shared" si="4"/>
        <v>3600</v>
      </c>
    </row>
    <row r="57">
      <c r="A57" s="8">
        <f t="shared" si="5"/>
        <v>56</v>
      </c>
      <c r="B57" s="23" t="s">
        <v>173</v>
      </c>
      <c r="C57" s="22">
        <v>77000.0</v>
      </c>
      <c r="D57" s="7">
        <f t="shared" si="2"/>
        <v>46200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23" t="s">
        <v>171</v>
      </c>
      <c r="C58" s="22">
        <v>75000.0</v>
      </c>
      <c r="D58" s="7">
        <f t="shared" si="2"/>
        <v>45000</v>
      </c>
      <c r="E58" s="7">
        <f t="shared" ref="E58:F58" si="60">if($D58&lt;15000,$D58*12/100,15000*12/100)</f>
        <v>1800</v>
      </c>
      <c r="F58" s="7">
        <f t="shared" si="60"/>
        <v>1800</v>
      </c>
      <c r="G58" s="7">
        <f t="shared" si="4"/>
        <v>3600</v>
      </c>
    </row>
    <row r="59">
      <c r="A59" s="8">
        <f t="shared" si="5"/>
        <v>58</v>
      </c>
      <c r="B59" s="23" t="s">
        <v>177</v>
      </c>
      <c r="C59" s="22">
        <v>25000.0</v>
      </c>
      <c r="D59" s="7">
        <f t="shared" si="2"/>
        <v>15000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</row>
    <row r="60">
      <c r="A60" s="8">
        <f t="shared" si="5"/>
        <v>59</v>
      </c>
      <c r="B60" s="23" t="s">
        <v>142</v>
      </c>
      <c r="C60" s="22">
        <v>22000.0</v>
      </c>
      <c r="D60" s="7">
        <f t="shared" si="2"/>
        <v>13200</v>
      </c>
      <c r="E60" s="7">
        <f t="shared" ref="E60:F60" si="62">if($D60&lt;15000,$D60*12/100,15000*12/100)</f>
        <v>1584</v>
      </c>
      <c r="F60" s="7">
        <f t="shared" si="62"/>
        <v>1584</v>
      </c>
      <c r="G60" s="7">
        <f t="shared" si="4"/>
        <v>3168</v>
      </c>
    </row>
    <row r="61">
      <c r="A61" s="8">
        <f t="shared" si="5"/>
        <v>60</v>
      </c>
      <c r="B61" s="23" t="s">
        <v>165</v>
      </c>
      <c r="C61" s="22">
        <v>20000.0</v>
      </c>
      <c r="D61" s="7">
        <f t="shared" si="2"/>
        <v>12000</v>
      </c>
      <c r="E61" s="7">
        <f t="shared" ref="E61:F61" si="63">if($D61&lt;15000,$D61*12/100,15000*12/100)</f>
        <v>1440</v>
      </c>
      <c r="F61" s="7">
        <f t="shared" si="63"/>
        <v>1440</v>
      </c>
      <c r="G61" s="7">
        <f t="shared" si="4"/>
        <v>2880</v>
      </c>
    </row>
    <row r="62">
      <c r="A62" s="8">
        <f t="shared" si="5"/>
        <v>61</v>
      </c>
      <c r="B62" s="23" t="s">
        <v>179</v>
      </c>
      <c r="C62" s="22">
        <v>15733.0</v>
      </c>
      <c r="D62" s="7">
        <f t="shared" si="2"/>
        <v>9439.8</v>
      </c>
      <c r="E62" s="7">
        <f t="shared" ref="E62:F62" si="64">if($D62&lt;15000,$D62*12/100,15000*12/100)</f>
        <v>1132.776</v>
      </c>
      <c r="F62" s="7">
        <f t="shared" si="64"/>
        <v>1132.776</v>
      </c>
      <c r="G62" s="7">
        <f t="shared" si="4"/>
        <v>2265.552</v>
      </c>
    </row>
    <row r="63">
      <c r="A63" s="8">
        <f t="shared" si="5"/>
        <v>62</v>
      </c>
      <c r="B63" s="23" t="s">
        <v>178</v>
      </c>
      <c r="C63" s="22">
        <v>19000.0</v>
      </c>
      <c r="D63" s="7">
        <f t="shared" si="2"/>
        <v>11400</v>
      </c>
      <c r="E63" s="7">
        <f t="shared" ref="E63:F63" si="65">if($D63&lt;15000,$D63*12/100,15000*12/100)</f>
        <v>1368</v>
      </c>
      <c r="F63" s="7">
        <f t="shared" si="65"/>
        <v>1368</v>
      </c>
      <c r="G63" s="7">
        <f t="shared" si="4"/>
        <v>2736</v>
      </c>
    </row>
    <row r="64">
      <c r="A64" s="8">
        <f t="shared" si="5"/>
        <v>63</v>
      </c>
      <c r="B64" s="23" t="s">
        <v>131</v>
      </c>
      <c r="C64" s="22">
        <v>14933.0</v>
      </c>
      <c r="D64" s="7">
        <f t="shared" si="2"/>
        <v>8959.8</v>
      </c>
      <c r="E64" s="7">
        <f t="shared" ref="E64:F64" si="66">if($D64&lt;15000,$D64*12/100,15000*12/100)</f>
        <v>1075.176</v>
      </c>
      <c r="F64" s="7">
        <f t="shared" si="66"/>
        <v>1075.176</v>
      </c>
      <c r="G64" s="7">
        <f t="shared" si="4"/>
        <v>2150.352</v>
      </c>
    </row>
    <row r="65">
      <c r="A65" s="8">
        <f t="shared" si="5"/>
        <v>64</v>
      </c>
      <c r="B65" s="23" t="s">
        <v>103</v>
      </c>
      <c r="C65" s="22">
        <v>23000.0</v>
      </c>
      <c r="D65" s="7">
        <f t="shared" si="2"/>
        <v>13800</v>
      </c>
      <c r="E65" s="7">
        <f t="shared" ref="E65:F65" si="67">if($D65&lt;15000,$D65*12/100,15000*12/100)</f>
        <v>1656</v>
      </c>
      <c r="F65" s="7">
        <f t="shared" si="67"/>
        <v>1656</v>
      </c>
      <c r="G65" s="7">
        <f t="shared" si="4"/>
        <v>3312</v>
      </c>
    </row>
    <row r="66">
      <c r="A66" s="8">
        <f t="shared" si="5"/>
        <v>65</v>
      </c>
      <c r="B66" s="23" t="s">
        <v>110</v>
      </c>
      <c r="C66" s="22">
        <v>20000.0</v>
      </c>
      <c r="D66" s="7">
        <f t="shared" si="2"/>
        <v>12000</v>
      </c>
      <c r="E66" s="7">
        <f t="shared" ref="E66:F66" si="68">if($D66&lt;15000,$D66*12/100,15000*12/100)</f>
        <v>1440</v>
      </c>
      <c r="F66" s="7">
        <f t="shared" si="68"/>
        <v>1440</v>
      </c>
      <c r="G66" s="7">
        <f t="shared" si="4"/>
        <v>2880</v>
      </c>
    </row>
    <row r="67">
      <c r="A67" s="8">
        <f t="shared" si="5"/>
        <v>66</v>
      </c>
      <c r="B67" s="23" t="s">
        <v>109</v>
      </c>
      <c r="C67" s="22">
        <v>20300.0</v>
      </c>
      <c r="D67" s="7">
        <f t="shared" si="2"/>
        <v>12180</v>
      </c>
      <c r="E67" s="7">
        <f t="shared" ref="E67:F67" si="69">if($D67&lt;15000,$D67*12/100,15000*12/100)</f>
        <v>1461.6</v>
      </c>
      <c r="F67" s="7">
        <f t="shared" si="69"/>
        <v>1461.6</v>
      </c>
      <c r="G67" s="7">
        <f t="shared" si="4"/>
        <v>2923.2</v>
      </c>
    </row>
    <row r="68">
      <c r="A68" s="8">
        <f t="shared" si="5"/>
        <v>67</v>
      </c>
      <c r="B68" s="23" t="s">
        <v>188</v>
      </c>
      <c r="C68" s="22">
        <v>15000.0</v>
      </c>
      <c r="D68" s="7">
        <f t="shared" si="2"/>
        <v>9000</v>
      </c>
      <c r="E68" s="7">
        <f t="shared" ref="E68:F68" si="70">if($D68&lt;15000,$D68*12/100,15000*12/100)</f>
        <v>1080</v>
      </c>
      <c r="F68" s="7">
        <f t="shared" si="70"/>
        <v>1080</v>
      </c>
      <c r="G68" s="7">
        <f t="shared" si="4"/>
        <v>2160</v>
      </c>
    </row>
    <row r="69">
      <c r="A69" s="8">
        <f t="shared" si="5"/>
        <v>68</v>
      </c>
      <c r="B69" s="23" t="s">
        <v>189</v>
      </c>
      <c r="C69" s="22">
        <v>14500.0</v>
      </c>
      <c r="D69" s="7">
        <f t="shared" si="2"/>
        <v>8700</v>
      </c>
      <c r="E69" s="7">
        <f t="shared" ref="E69:F69" si="71">if($D69&lt;15000,$D69*12/100,15000*12/100)</f>
        <v>1044</v>
      </c>
      <c r="F69" s="7">
        <f t="shared" si="71"/>
        <v>1044</v>
      </c>
      <c r="G69" s="7">
        <f t="shared" si="4"/>
        <v>2088</v>
      </c>
    </row>
    <row r="70">
      <c r="A70" s="8">
        <f t="shared" si="5"/>
        <v>69</v>
      </c>
      <c r="B70" s="23" t="s">
        <v>190</v>
      </c>
      <c r="C70" s="22">
        <v>9500.0</v>
      </c>
      <c r="D70" s="7">
        <f t="shared" si="2"/>
        <v>5700</v>
      </c>
      <c r="E70" s="7">
        <f t="shared" ref="E70:F70" si="72">if($D70&lt;15000,$D70*12/100,15000*12/100)</f>
        <v>684</v>
      </c>
      <c r="F70" s="7">
        <f t="shared" si="72"/>
        <v>684</v>
      </c>
      <c r="G70" s="7">
        <f t="shared" si="4"/>
        <v>1368</v>
      </c>
    </row>
    <row r="71">
      <c r="A71" s="8">
        <f t="shared" si="5"/>
        <v>70</v>
      </c>
      <c r="B71" s="23" t="s">
        <v>191</v>
      </c>
      <c r="C71" s="22">
        <v>3500.0</v>
      </c>
      <c r="D71" s="7">
        <f t="shared" si="2"/>
        <v>2100</v>
      </c>
      <c r="E71" s="7">
        <f t="shared" ref="E71:F71" si="73">if($D71&lt;15000,$D71*12/100,15000*12/100)</f>
        <v>252</v>
      </c>
      <c r="F71" s="7">
        <f t="shared" si="73"/>
        <v>252</v>
      </c>
      <c r="G71" s="7">
        <f t="shared" si="4"/>
        <v>504</v>
      </c>
    </row>
    <row r="72">
      <c r="A72" s="8">
        <f t="shared" si="5"/>
        <v>71</v>
      </c>
      <c r="B72" s="23" t="s">
        <v>192</v>
      </c>
      <c r="C72" s="22">
        <v>2000.0</v>
      </c>
      <c r="D72" s="7">
        <f t="shared" si="2"/>
        <v>1200</v>
      </c>
      <c r="E72" s="7">
        <f t="shared" ref="E72:F72" si="74">if($D72&lt;15000,$D72*12/100,15000*12/100)</f>
        <v>144</v>
      </c>
      <c r="F72" s="7">
        <f t="shared" si="74"/>
        <v>144</v>
      </c>
      <c r="G72" s="7">
        <f t="shared" si="4"/>
        <v>288</v>
      </c>
    </row>
    <row r="73">
      <c r="A73" s="8">
        <f t="shared" si="5"/>
        <v>72</v>
      </c>
      <c r="B73" s="24" t="s">
        <v>154</v>
      </c>
      <c r="C73" s="22">
        <v>17000.0</v>
      </c>
      <c r="D73" s="7">
        <f t="shared" si="2"/>
        <v>10200</v>
      </c>
      <c r="E73" s="7">
        <f t="shared" ref="E73:F73" si="75">if($D73&lt;15000,$D73*12/100,15000*12/100)</f>
        <v>1224</v>
      </c>
      <c r="F73" s="7">
        <f t="shared" si="75"/>
        <v>1224</v>
      </c>
      <c r="G73" s="7">
        <f t="shared" si="4"/>
        <v>2448</v>
      </c>
    </row>
    <row r="74">
      <c r="A74" s="8">
        <f t="shared" si="5"/>
        <v>73</v>
      </c>
      <c r="B74" s="24" t="s">
        <v>155</v>
      </c>
      <c r="C74" s="25">
        <v>23000.0</v>
      </c>
      <c r="D74" s="7">
        <f t="shared" si="2"/>
        <v>13800</v>
      </c>
      <c r="E74" s="7">
        <f t="shared" ref="E74:F74" si="76">if($D74&lt;15000,$D74*12/100,15000*12/100)</f>
        <v>1656</v>
      </c>
      <c r="F74" s="7">
        <f t="shared" si="76"/>
        <v>1656</v>
      </c>
      <c r="G74" s="7">
        <f t="shared" si="4"/>
        <v>3312</v>
      </c>
    </row>
    <row r="75">
      <c r="A75" s="8">
        <f t="shared" si="5"/>
        <v>74</v>
      </c>
      <c r="B75" s="24" t="s">
        <v>156</v>
      </c>
      <c r="C75" s="25">
        <v>19333.0</v>
      </c>
      <c r="D75" s="7">
        <f t="shared" si="2"/>
        <v>11599.8</v>
      </c>
      <c r="E75" s="7">
        <f t="shared" ref="E75:F75" si="77">if($D75&lt;15000,$D75*12/100,15000*12/100)</f>
        <v>1391.976</v>
      </c>
      <c r="F75" s="7">
        <f t="shared" si="77"/>
        <v>1391.976</v>
      </c>
      <c r="G75" s="7">
        <f t="shared" si="4"/>
        <v>2783.952</v>
      </c>
    </row>
    <row r="76">
      <c r="A76" s="8">
        <f t="shared" si="5"/>
        <v>75</v>
      </c>
      <c r="B76" s="24" t="s">
        <v>157</v>
      </c>
      <c r="C76" s="25">
        <v>19333.0</v>
      </c>
      <c r="D76" s="7">
        <f t="shared" si="2"/>
        <v>11599.8</v>
      </c>
      <c r="E76" s="7">
        <f t="shared" ref="E76:F76" si="78">if($D76&lt;15000,$D76*12/100,15000*12/100)</f>
        <v>1391.976</v>
      </c>
      <c r="F76" s="7">
        <f t="shared" si="78"/>
        <v>1391.976</v>
      </c>
      <c r="G76" s="7">
        <f t="shared" si="4"/>
        <v>2783.952</v>
      </c>
    </row>
    <row r="77">
      <c r="A77" s="8">
        <f t="shared" si="5"/>
        <v>76</v>
      </c>
      <c r="B77" s="24" t="s">
        <v>160</v>
      </c>
      <c r="C77" s="25">
        <v>17733.0</v>
      </c>
      <c r="D77" s="7">
        <f t="shared" si="2"/>
        <v>10639.8</v>
      </c>
      <c r="E77" s="7">
        <f t="shared" ref="E77:F77" si="79">if($D77&lt;15000,$D77*12/100,15000*12/100)</f>
        <v>1276.776</v>
      </c>
      <c r="F77" s="7">
        <f t="shared" si="79"/>
        <v>1276.776</v>
      </c>
      <c r="G77" s="7">
        <f t="shared" si="4"/>
        <v>2553.552</v>
      </c>
    </row>
    <row r="78">
      <c r="A78" s="8">
        <f t="shared" si="5"/>
        <v>77</v>
      </c>
      <c r="B78" s="24" t="s">
        <v>161</v>
      </c>
      <c r="C78" s="25">
        <v>14000.0</v>
      </c>
      <c r="D78" s="7">
        <f t="shared" si="2"/>
        <v>8400</v>
      </c>
      <c r="E78" s="7">
        <f t="shared" ref="E78:F78" si="80">if($D78&lt;15000,$D78*12/100,15000*12/100)</f>
        <v>1008</v>
      </c>
      <c r="F78" s="7">
        <f t="shared" si="80"/>
        <v>1008</v>
      </c>
      <c r="G78" s="7">
        <f t="shared" si="4"/>
        <v>2016</v>
      </c>
    </row>
    <row r="79">
      <c r="A79" s="8">
        <f t="shared" si="5"/>
        <v>78</v>
      </c>
      <c r="B79" s="23" t="s">
        <v>167</v>
      </c>
      <c r="C79" s="22">
        <v>22233.0</v>
      </c>
      <c r="D79" s="7">
        <f t="shared" si="2"/>
        <v>13339.8</v>
      </c>
      <c r="E79" s="7">
        <f t="shared" ref="E79:F79" si="81">if($D79&lt;15000,$D79*12/100,15000*12/100)</f>
        <v>1600.776</v>
      </c>
      <c r="F79" s="7">
        <f t="shared" si="81"/>
        <v>1600.776</v>
      </c>
      <c r="G79" s="7">
        <f t="shared" si="4"/>
        <v>3201.552</v>
      </c>
    </row>
    <row r="80">
      <c r="A80" s="8">
        <f t="shared" si="5"/>
        <v>79</v>
      </c>
      <c r="B80" s="23" t="s">
        <v>176</v>
      </c>
      <c r="C80" s="22">
        <v>2000.0</v>
      </c>
      <c r="D80" s="7">
        <f t="shared" si="2"/>
        <v>1200</v>
      </c>
      <c r="E80" s="7">
        <f t="shared" ref="E80:F80" si="82">if($D80&lt;15000,$D80*12/100,15000*12/100)</f>
        <v>144</v>
      </c>
      <c r="F80" s="7">
        <f t="shared" si="82"/>
        <v>144</v>
      </c>
      <c r="G80" s="7">
        <f t="shared" si="4"/>
        <v>288</v>
      </c>
    </row>
    <row r="81">
      <c r="A81" s="9" t="s">
        <v>34</v>
      </c>
      <c r="B81" s="10"/>
      <c r="C81" s="11">
        <f t="shared" ref="C81:G81" si="83">sum(C2:C80)</f>
        <v>1852798</v>
      </c>
      <c r="D81" s="11">
        <f t="shared" si="83"/>
        <v>1111678.8</v>
      </c>
      <c r="E81" s="11">
        <f t="shared" si="83"/>
        <v>106180.632</v>
      </c>
      <c r="F81" s="11">
        <f t="shared" si="83"/>
        <v>106180.632</v>
      </c>
      <c r="G81" s="11">
        <f t="shared" si="83"/>
        <v>212361.264</v>
      </c>
    </row>
  </sheetData>
  <mergeCells count="1">
    <mergeCell ref="A81:B81"/>
  </mergeCells>
  <hyperlinks>
    <hyperlink r:id="rId1" ref="A1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6" t="s">
        <v>193</v>
      </c>
      <c r="C2" s="27">
        <v>73790.0</v>
      </c>
      <c r="D2" s="7">
        <f t="shared" ref="D2:D77" si="2">C2*60/100</f>
        <v>44274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77" si="4">E2+F2</f>
        <v>3600</v>
      </c>
    </row>
    <row r="3">
      <c r="A3" s="8">
        <f t="shared" ref="A3:A77" si="5">A2+1</f>
        <v>2</v>
      </c>
      <c r="B3" s="26" t="s">
        <v>194</v>
      </c>
      <c r="C3" s="28">
        <v>61855.0</v>
      </c>
      <c r="D3" s="7">
        <f t="shared" si="2"/>
        <v>37113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195</v>
      </c>
      <c r="C4" s="28">
        <v>55000.0</v>
      </c>
      <c r="D4" s="7">
        <f t="shared" si="2"/>
        <v>33000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196</v>
      </c>
      <c r="C5" s="29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6" t="s">
        <v>197</v>
      </c>
      <c r="C6" s="29">
        <v>75000.0</v>
      </c>
      <c r="D6" s="7">
        <f t="shared" si="2"/>
        <v>45000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26" t="s">
        <v>198</v>
      </c>
      <c r="C7" s="29">
        <v>77000.0</v>
      </c>
      <c r="D7" s="7">
        <f t="shared" si="2"/>
        <v>46200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26" t="s">
        <v>199</v>
      </c>
      <c r="C8" s="29">
        <v>72000.0</v>
      </c>
      <c r="D8" s="7">
        <f t="shared" si="2"/>
        <v>43200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6" t="s">
        <v>200</v>
      </c>
      <c r="C9" s="29">
        <v>31935.0</v>
      </c>
      <c r="D9" s="7">
        <f t="shared" si="2"/>
        <v>19161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26" t="s">
        <v>201</v>
      </c>
      <c r="C10" s="29">
        <v>25000.0</v>
      </c>
      <c r="D10" s="7">
        <f t="shared" si="2"/>
        <v>15000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202</v>
      </c>
      <c r="C11" s="29">
        <v>25000.0</v>
      </c>
      <c r="D11" s="7">
        <f t="shared" si="2"/>
        <v>15000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26" t="s">
        <v>203</v>
      </c>
      <c r="C12" s="29">
        <v>35000.0</v>
      </c>
      <c r="D12" s="7">
        <f t="shared" si="2"/>
        <v>21000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204</v>
      </c>
      <c r="C13" s="29">
        <v>32000.0</v>
      </c>
      <c r="D13" s="7">
        <f t="shared" si="2"/>
        <v>19200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205</v>
      </c>
      <c r="C14" s="29">
        <v>35000.0</v>
      </c>
      <c r="D14" s="7">
        <f t="shared" si="2"/>
        <v>21000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206</v>
      </c>
      <c r="C15" s="29">
        <v>25000.0</v>
      </c>
      <c r="D15" s="7">
        <f t="shared" si="2"/>
        <v>15000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26" t="s">
        <v>207</v>
      </c>
      <c r="C16" s="29">
        <v>36000.0</v>
      </c>
      <c r="D16" s="7">
        <f t="shared" si="2"/>
        <v>21600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208</v>
      </c>
      <c r="C17" s="29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209</v>
      </c>
      <c r="C18" s="29">
        <v>25000.0</v>
      </c>
      <c r="D18" s="7">
        <f t="shared" si="2"/>
        <v>15000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210</v>
      </c>
      <c r="C19" s="29">
        <v>29000.0</v>
      </c>
      <c r="D19" s="7">
        <f t="shared" si="2"/>
        <v>17400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211</v>
      </c>
      <c r="C20" s="29">
        <v>30000.0</v>
      </c>
      <c r="D20" s="7">
        <f t="shared" si="2"/>
        <v>18000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212</v>
      </c>
      <c r="C21" s="29">
        <v>25000.0</v>
      </c>
      <c r="D21" s="7">
        <f t="shared" si="2"/>
        <v>15000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26" t="s">
        <v>213</v>
      </c>
      <c r="C22" s="29">
        <v>22000.0</v>
      </c>
      <c r="D22" s="7">
        <f t="shared" si="2"/>
        <v>13200</v>
      </c>
      <c r="E22" s="7">
        <f t="shared" ref="E22:F22" si="24">if($D22&lt;15000,$D22*12/100,15000*12/100)</f>
        <v>1584</v>
      </c>
      <c r="F22" s="7">
        <f t="shared" si="24"/>
        <v>1584</v>
      </c>
      <c r="G22" s="7">
        <f t="shared" si="4"/>
        <v>3168</v>
      </c>
    </row>
    <row r="23">
      <c r="A23" s="8">
        <f t="shared" si="5"/>
        <v>22</v>
      </c>
      <c r="B23" s="26" t="s">
        <v>214</v>
      </c>
      <c r="C23" s="29">
        <v>22000.0</v>
      </c>
      <c r="D23" s="7">
        <f t="shared" si="2"/>
        <v>13200</v>
      </c>
      <c r="E23" s="7">
        <f t="shared" ref="E23:F23" si="25">if($D23&lt;15000,$D23*12/100,15000*12/100)</f>
        <v>1584</v>
      </c>
      <c r="F23" s="7">
        <f t="shared" si="25"/>
        <v>1584</v>
      </c>
      <c r="G23" s="7">
        <f t="shared" si="4"/>
        <v>3168</v>
      </c>
    </row>
    <row r="24">
      <c r="A24" s="8">
        <f t="shared" si="5"/>
        <v>23</v>
      </c>
      <c r="B24" s="26" t="s">
        <v>215</v>
      </c>
      <c r="C24" s="29">
        <v>17097.0</v>
      </c>
      <c r="D24" s="7">
        <f t="shared" si="2"/>
        <v>10258.2</v>
      </c>
      <c r="E24" s="7">
        <f t="shared" ref="E24:F24" si="26">if($D24&lt;15000,$D24*12/100,15000*12/100)</f>
        <v>1230.984</v>
      </c>
      <c r="F24" s="7">
        <f t="shared" si="26"/>
        <v>1230.984</v>
      </c>
      <c r="G24" s="7">
        <f t="shared" si="4"/>
        <v>2461.968</v>
      </c>
    </row>
    <row r="25">
      <c r="A25" s="8">
        <f t="shared" si="5"/>
        <v>24</v>
      </c>
      <c r="B25" s="26" t="s">
        <v>216</v>
      </c>
      <c r="C25" s="29">
        <v>23000.0</v>
      </c>
      <c r="D25" s="7">
        <f t="shared" si="2"/>
        <v>13800</v>
      </c>
      <c r="E25" s="7">
        <f t="shared" ref="E25:F25" si="27">if($D25&lt;15000,$D25*12/100,15000*12/100)</f>
        <v>1656</v>
      </c>
      <c r="F25" s="7">
        <f t="shared" si="27"/>
        <v>1656</v>
      </c>
      <c r="G25" s="7">
        <f t="shared" si="4"/>
        <v>3312</v>
      </c>
    </row>
    <row r="26">
      <c r="A26" s="8">
        <f t="shared" si="5"/>
        <v>25</v>
      </c>
      <c r="B26" s="26" t="s">
        <v>217</v>
      </c>
      <c r="C26" s="29">
        <v>22000.0</v>
      </c>
      <c r="D26" s="7">
        <f t="shared" si="2"/>
        <v>13200</v>
      </c>
      <c r="E26" s="7">
        <f t="shared" ref="E26:F26" si="28">if($D26&lt;15000,$D26*12/100,15000*12/100)</f>
        <v>1584</v>
      </c>
      <c r="F26" s="7">
        <f t="shared" si="28"/>
        <v>1584</v>
      </c>
      <c r="G26" s="7">
        <f t="shared" si="4"/>
        <v>3168</v>
      </c>
    </row>
    <row r="27">
      <c r="A27" s="8">
        <f t="shared" si="5"/>
        <v>26</v>
      </c>
      <c r="B27" s="26" t="s">
        <v>218</v>
      </c>
      <c r="C27" s="29">
        <v>20661.0</v>
      </c>
      <c r="D27" s="7">
        <f t="shared" si="2"/>
        <v>12396.6</v>
      </c>
      <c r="E27" s="7">
        <f t="shared" ref="E27:F27" si="29">if($D27&lt;15000,$D27*12/100,15000*12/100)</f>
        <v>1487.592</v>
      </c>
      <c r="F27" s="7">
        <f t="shared" si="29"/>
        <v>1487.592</v>
      </c>
      <c r="G27" s="7">
        <f t="shared" si="4"/>
        <v>2975.184</v>
      </c>
    </row>
    <row r="28">
      <c r="A28" s="8">
        <f t="shared" si="5"/>
        <v>27</v>
      </c>
      <c r="B28" s="26" t="s">
        <v>219</v>
      </c>
      <c r="C28" s="29">
        <v>17000.0</v>
      </c>
      <c r="D28" s="7">
        <f t="shared" si="2"/>
        <v>10200</v>
      </c>
      <c r="E28" s="7">
        <f t="shared" ref="E28:F28" si="30">if($D28&lt;15000,$D28*12/100,15000*12/100)</f>
        <v>1224</v>
      </c>
      <c r="F28" s="7">
        <f t="shared" si="30"/>
        <v>1224</v>
      </c>
      <c r="G28" s="7">
        <f t="shared" si="4"/>
        <v>2448</v>
      </c>
    </row>
    <row r="29">
      <c r="A29" s="8">
        <f t="shared" si="5"/>
        <v>28</v>
      </c>
      <c r="B29" s="26" t="s">
        <v>220</v>
      </c>
      <c r="C29" s="29">
        <v>24194.0</v>
      </c>
      <c r="D29" s="7">
        <f t="shared" si="2"/>
        <v>14516.4</v>
      </c>
      <c r="E29" s="7">
        <f t="shared" ref="E29:F29" si="31">if($D29&lt;15000,$D29*12/100,15000*12/100)</f>
        <v>1741.968</v>
      </c>
      <c r="F29" s="7">
        <f t="shared" si="31"/>
        <v>1741.968</v>
      </c>
      <c r="G29" s="7">
        <f t="shared" si="4"/>
        <v>3483.936</v>
      </c>
    </row>
    <row r="30">
      <c r="A30" s="8">
        <f t="shared" si="5"/>
        <v>29</v>
      </c>
      <c r="B30" s="26" t="s">
        <v>221</v>
      </c>
      <c r="C30" s="29">
        <v>21000.0</v>
      </c>
      <c r="D30" s="7">
        <f t="shared" si="2"/>
        <v>12600</v>
      </c>
      <c r="E30" s="7">
        <f t="shared" ref="E30:F30" si="32">if($D30&lt;15000,$D30*12/100,15000*12/100)</f>
        <v>1512</v>
      </c>
      <c r="F30" s="7">
        <f t="shared" si="32"/>
        <v>1512</v>
      </c>
      <c r="G30" s="7">
        <f t="shared" si="4"/>
        <v>3024</v>
      </c>
    </row>
    <row r="31">
      <c r="A31" s="8">
        <f t="shared" si="5"/>
        <v>30</v>
      </c>
      <c r="B31" s="26" t="s">
        <v>222</v>
      </c>
      <c r="C31" s="29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</row>
    <row r="32">
      <c r="A32" s="8">
        <f t="shared" si="5"/>
        <v>31</v>
      </c>
      <c r="B32" s="26" t="s">
        <v>223</v>
      </c>
      <c r="C32" s="29">
        <v>19984.0</v>
      </c>
      <c r="D32" s="7">
        <f t="shared" si="2"/>
        <v>11990.4</v>
      </c>
      <c r="E32" s="7">
        <f t="shared" ref="E32:F32" si="34">if($D32&lt;15000,$D32*12/100,15000*12/100)</f>
        <v>1438.848</v>
      </c>
      <c r="F32" s="7">
        <f t="shared" si="34"/>
        <v>1438.848</v>
      </c>
      <c r="G32" s="7">
        <f t="shared" si="4"/>
        <v>2877.696</v>
      </c>
    </row>
    <row r="33">
      <c r="A33" s="8">
        <f t="shared" si="5"/>
        <v>32</v>
      </c>
      <c r="B33" s="26" t="s">
        <v>86</v>
      </c>
      <c r="C33" s="29">
        <v>16597.0</v>
      </c>
      <c r="D33" s="7">
        <f t="shared" si="2"/>
        <v>9958.2</v>
      </c>
      <c r="E33" s="7">
        <f t="shared" ref="E33:F33" si="35">if($D33&lt;15000,$D33*12/100,15000*12/100)</f>
        <v>1194.984</v>
      </c>
      <c r="F33" s="7">
        <f t="shared" si="35"/>
        <v>1194.984</v>
      </c>
      <c r="G33" s="7">
        <f t="shared" si="4"/>
        <v>2389.968</v>
      </c>
    </row>
    <row r="34">
      <c r="A34" s="8">
        <f t="shared" si="5"/>
        <v>33</v>
      </c>
      <c r="B34" s="26" t="s">
        <v>224</v>
      </c>
      <c r="C34" s="29">
        <v>25000.0</v>
      </c>
      <c r="D34" s="7">
        <f t="shared" si="2"/>
        <v>15000</v>
      </c>
      <c r="E34" s="7">
        <f t="shared" ref="E34:F34" si="36">if($D34&lt;15000,$D34*12/100,15000*12/100)</f>
        <v>1800</v>
      </c>
      <c r="F34" s="7">
        <f t="shared" si="36"/>
        <v>1800</v>
      </c>
      <c r="G34" s="7">
        <f t="shared" si="4"/>
        <v>3600</v>
      </c>
    </row>
    <row r="35">
      <c r="A35" s="8">
        <f t="shared" si="5"/>
        <v>34</v>
      </c>
      <c r="B35" s="26" t="s">
        <v>225</v>
      </c>
      <c r="C35" s="29">
        <v>17129.0</v>
      </c>
      <c r="D35" s="7">
        <f t="shared" si="2"/>
        <v>10277.4</v>
      </c>
      <c r="E35" s="7">
        <f t="shared" ref="E35:F35" si="37">if($D35&lt;15000,$D35*12/100,15000*12/100)</f>
        <v>1233.288</v>
      </c>
      <c r="F35" s="7">
        <f t="shared" si="37"/>
        <v>1233.288</v>
      </c>
      <c r="G35" s="7">
        <f t="shared" si="4"/>
        <v>2466.576</v>
      </c>
    </row>
    <row r="36">
      <c r="A36" s="8">
        <f t="shared" si="5"/>
        <v>35</v>
      </c>
      <c r="B36" s="26" t="s">
        <v>226</v>
      </c>
      <c r="C36" s="29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</row>
    <row r="37">
      <c r="A37" s="8">
        <f t="shared" si="5"/>
        <v>36</v>
      </c>
      <c r="B37" s="26" t="s">
        <v>227</v>
      </c>
      <c r="C37" s="29">
        <v>17000.0</v>
      </c>
      <c r="D37" s="7">
        <f t="shared" si="2"/>
        <v>10200</v>
      </c>
      <c r="E37" s="7">
        <f t="shared" ref="E37:F37" si="39">if($D37&lt;15000,$D37*12/100,15000*12/100)</f>
        <v>1224</v>
      </c>
      <c r="F37" s="7">
        <f t="shared" si="39"/>
        <v>1224</v>
      </c>
      <c r="G37" s="7">
        <f t="shared" si="4"/>
        <v>2448</v>
      </c>
    </row>
    <row r="38">
      <c r="A38" s="8">
        <f t="shared" si="5"/>
        <v>37</v>
      </c>
      <c r="B38" s="30" t="s">
        <v>228</v>
      </c>
      <c r="C38" s="29">
        <v>15000.0</v>
      </c>
      <c r="D38" s="7">
        <f t="shared" si="2"/>
        <v>9000</v>
      </c>
      <c r="E38" s="7">
        <f t="shared" ref="E38:F38" si="40">if($D38&lt;15000,$D38*12/100,15000*12/100)</f>
        <v>1080</v>
      </c>
      <c r="F38" s="7">
        <f t="shared" si="40"/>
        <v>1080</v>
      </c>
      <c r="G38" s="7">
        <f t="shared" si="4"/>
        <v>2160</v>
      </c>
    </row>
    <row r="39">
      <c r="A39" s="8">
        <f t="shared" si="5"/>
        <v>38</v>
      </c>
      <c r="B39" s="30" t="s">
        <v>229</v>
      </c>
      <c r="C39" s="29">
        <v>18290.0</v>
      </c>
      <c r="D39" s="7">
        <f t="shared" si="2"/>
        <v>10974</v>
      </c>
      <c r="E39" s="7">
        <f t="shared" ref="E39:F39" si="41">if($D39&lt;15000,$D39*12/100,15000*12/100)</f>
        <v>1316.88</v>
      </c>
      <c r="F39" s="7">
        <f t="shared" si="41"/>
        <v>1316.88</v>
      </c>
      <c r="G39" s="7">
        <f t="shared" si="4"/>
        <v>2633.76</v>
      </c>
    </row>
    <row r="40">
      <c r="A40" s="8">
        <f t="shared" si="5"/>
        <v>39</v>
      </c>
      <c r="B40" s="30" t="s">
        <v>230</v>
      </c>
      <c r="C40" s="29">
        <v>19000.0</v>
      </c>
      <c r="D40" s="7">
        <f t="shared" si="2"/>
        <v>11400</v>
      </c>
      <c r="E40" s="7">
        <f t="shared" ref="E40:F40" si="42">if($D40&lt;15000,$D40*12/100,15000*12/100)</f>
        <v>1368</v>
      </c>
      <c r="F40" s="7">
        <f t="shared" si="42"/>
        <v>1368</v>
      </c>
      <c r="G40" s="7">
        <f t="shared" si="4"/>
        <v>2736</v>
      </c>
    </row>
    <row r="41">
      <c r="A41" s="8">
        <f t="shared" si="5"/>
        <v>40</v>
      </c>
      <c r="B41" s="30" t="s">
        <v>231</v>
      </c>
      <c r="C41" s="29">
        <v>21516.0</v>
      </c>
      <c r="D41" s="7">
        <f t="shared" si="2"/>
        <v>12909.6</v>
      </c>
      <c r="E41" s="7">
        <f t="shared" ref="E41:F41" si="43">if($D41&lt;15000,$D41*12/100,15000*12/100)</f>
        <v>1549.152</v>
      </c>
      <c r="F41" s="7">
        <f t="shared" si="43"/>
        <v>1549.152</v>
      </c>
      <c r="G41" s="7">
        <f t="shared" si="4"/>
        <v>3098.304</v>
      </c>
    </row>
    <row r="42">
      <c r="A42" s="8">
        <f t="shared" si="5"/>
        <v>41</v>
      </c>
      <c r="B42" s="30" t="s">
        <v>232</v>
      </c>
      <c r="C42" s="29">
        <v>14710.0</v>
      </c>
      <c r="D42" s="7">
        <f t="shared" si="2"/>
        <v>8826</v>
      </c>
      <c r="E42" s="7">
        <f t="shared" ref="E42:F42" si="44">if($D42&lt;15000,$D42*12/100,15000*12/100)</f>
        <v>1059.12</v>
      </c>
      <c r="F42" s="7">
        <f t="shared" si="44"/>
        <v>1059.12</v>
      </c>
      <c r="G42" s="7">
        <f t="shared" si="4"/>
        <v>2118.24</v>
      </c>
    </row>
    <row r="43">
      <c r="A43" s="8">
        <f t="shared" si="5"/>
        <v>42</v>
      </c>
      <c r="B43" s="30" t="s">
        <v>233</v>
      </c>
      <c r="C43" s="29">
        <v>15484.0</v>
      </c>
      <c r="D43" s="7">
        <f t="shared" si="2"/>
        <v>9290.4</v>
      </c>
      <c r="E43" s="7">
        <f t="shared" ref="E43:F43" si="45">if($D43&lt;15000,$D43*12/100,15000*12/100)</f>
        <v>1114.848</v>
      </c>
      <c r="F43" s="7">
        <f t="shared" si="45"/>
        <v>1114.848</v>
      </c>
      <c r="G43" s="7">
        <f t="shared" si="4"/>
        <v>2229.696</v>
      </c>
    </row>
    <row r="44">
      <c r="A44" s="8">
        <f t="shared" si="5"/>
        <v>43</v>
      </c>
      <c r="B44" s="30" t="s">
        <v>234</v>
      </c>
      <c r="C44" s="29">
        <v>6581.0</v>
      </c>
      <c r="D44" s="7">
        <f t="shared" si="2"/>
        <v>3948.6</v>
      </c>
      <c r="E44" s="7">
        <f t="shared" ref="E44:F44" si="46">if($D44&lt;15000,$D44*12/100,15000*12/100)</f>
        <v>473.832</v>
      </c>
      <c r="F44" s="7">
        <f t="shared" si="46"/>
        <v>473.832</v>
      </c>
      <c r="G44" s="7">
        <f t="shared" si="4"/>
        <v>947.664</v>
      </c>
    </row>
    <row r="45">
      <c r="A45" s="8">
        <f t="shared" si="5"/>
        <v>44</v>
      </c>
      <c r="B45" s="30" t="s">
        <v>235</v>
      </c>
      <c r="C45" s="29">
        <v>20000.0</v>
      </c>
      <c r="D45" s="7">
        <f t="shared" si="2"/>
        <v>12000</v>
      </c>
      <c r="E45" s="7">
        <f t="shared" ref="E45:F45" si="47">if($D45&lt;15000,$D45*12/100,15000*12/100)</f>
        <v>1440</v>
      </c>
      <c r="F45" s="7">
        <f t="shared" si="47"/>
        <v>1440</v>
      </c>
      <c r="G45" s="7">
        <f t="shared" si="4"/>
        <v>2880</v>
      </c>
    </row>
    <row r="46">
      <c r="A46" s="8">
        <f t="shared" si="5"/>
        <v>45</v>
      </c>
      <c r="B46" s="30" t="s">
        <v>236</v>
      </c>
      <c r="C46" s="29">
        <v>14968.0</v>
      </c>
      <c r="D46" s="7">
        <f t="shared" si="2"/>
        <v>8980.8</v>
      </c>
      <c r="E46" s="7">
        <f t="shared" ref="E46:F46" si="48">if($D46&lt;15000,$D46*12/100,15000*12/100)</f>
        <v>1077.696</v>
      </c>
      <c r="F46" s="7">
        <f t="shared" si="48"/>
        <v>1077.696</v>
      </c>
      <c r="G46" s="7">
        <f t="shared" si="4"/>
        <v>2155.392</v>
      </c>
    </row>
    <row r="47">
      <c r="A47" s="8">
        <f t="shared" si="5"/>
        <v>46</v>
      </c>
      <c r="B47" s="30" t="s">
        <v>237</v>
      </c>
      <c r="C47" s="29">
        <v>18000.0</v>
      </c>
      <c r="D47" s="7">
        <f t="shared" si="2"/>
        <v>10800</v>
      </c>
      <c r="E47" s="7">
        <f t="shared" ref="E47:F47" si="49">if($D47&lt;15000,$D47*12/100,15000*12/100)</f>
        <v>1296</v>
      </c>
      <c r="F47" s="7">
        <f t="shared" si="49"/>
        <v>1296</v>
      </c>
      <c r="G47" s="7">
        <f t="shared" si="4"/>
        <v>2592</v>
      </c>
    </row>
    <row r="48">
      <c r="A48" s="8">
        <f t="shared" si="5"/>
        <v>47</v>
      </c>
      <c r="B48" s="30" t="s">
        <v>238</v>
      </c>
      <c r="C48" s="29">
        <v>11419.0</v>
      </c>
      <c r="D48" s="7">
        <f t="shared" si="2"/>
        <v>6851.4</v>
      </c>
      <c r="E48" s="7">
        <f t="shared" ref="E48:F48" si="50">if($D48&lt;15000,$D48*12/100,15000*12/100)</f>
        <v>822.168</v>
      </c>
      <c r="F48" s="7">
        <f t="shared" si="50"/>
        <v>822.168</v>
      </c>
      <c r="G48" s="7">
        <f t="shared" si="4"/>
        <v>1644.336</v>
      </c>
    </row>
    <row r="49">
      <c r="A49" s="8">
        <f t="shared" si="5"/>
        <v>48</v>
      </c>
      <c r="B49" s="30" t="s">
        <v>239</v>
      </c>
      <c r="C49" s="29">
        <v>16726.0</v>
      </c>
      <c r="D49" s="7">
        <f t="shared" si="2"/>
        <v>10035.6</v>
      </c>
      <c r="E49" s="7">
        <f t="shared" ref="E49:F49" si="51">if($D49&lt;15000,$D49*12/100,15000*12/100)</f>
        <v>1204.272</v>
      </c>
      <c r="F49" s="7">
        <f t="shared" si="51"/>
        <v>1204.272</v>
      </c>
      <c r="G49" s="7">
        <f t="shared" si="4"/>
        <v>2408.544</v>
      </c>
    </row>
    <row r="50">
      <c r="A50" s="8">
        <f t="shared" si="5"/>
        <v>49</v>
      </c>
      <c r="B50" s="30" t="s">
        <v>240</v>
      </c>
      <c r="C50" s="29">
        <v>20000.0</v>
      </c>
      <c r="D50" s="7">
        <f t="shared" si="2"/>
        <v>12000</v>
      </c>
      <c r="E50" s="7">
        <f t="shared" ref="E50:F50" si="52">if($D50&lt;15000,$D50*12/100,15000*12/100)</f>
        <v>1440</v>
      </c>
      <c r="F50" s="7">
        <f t="shared" si="52"/>
        <v>1440</v>
      </c>
      <c r="G50" s="7">
        <f t="shared" si="4"/>
        <v>2880</v>
      </c>
    </row>
    <row r="51">
      <c r="A51" s="8">
        <f t="shared" si="5"/>
        <v>50</v>
      </c>
      <c r="B51" s="30" t="s">
        <v>241</v>
      </c>
      <c r="C51" s="29">
        <v>16000.0</v>
      </c>
      <c r="D51" s="7">
        <f t="shared" si="2"/>
        <v>9600</v>
      </c>
      <c r="E51" s="7">
        <f t="shared" ref="E51:F51" si="53">if($D51&lt;15000,$D51*12/100,15000*12/100)</f>
        <v>1152</v>
      </c>
      <c r="F51" s="7">
        <f t="shared" si="53"/>
        <v>1152</v>
      </c>
      <c r="G51" s="7">
        <f t="shared" si="4"/>
        <v>2304</v>
      </c>
    </row>
    <row r="52">
      <c r="A52" s="8">
        <f t="shared" si="5"/>
        <v>51</v>
      </c>
      <c r="B52" s="30" t="s">
        <v>242</v>
      </c>
      <c r="C52" s="29">
        <v>16452.0</v>
      </c>
      <c r="D52" s="7">
        <f t="shared" si="2"/>
        <v>9871.2</v>
      </c>
      <c r="E52" s="7">
        <f t="shared" ref="E52:F52" si="54">if($D52&lt;15000,$D52*12/100,15000*12/100)</f>
        <v>1184.544</v>
      </c>
      <c r="F52" s="7">
        <f t="shared" si="54"/>
        <v>1184.544</v>
      </c>
      <c r="G52" s="7">
        <f t="shared" si="4"/>
        <v>2369.088</v>
      </c>
    </row>
    <row r="53">
      <c r="A53" s="8">
        <f t="shared" si="5"/>
        <v>52</v>
      </c>
      <c r="B53" s="30" t="s">
        <v>243</v>
      </c>
      <c r="C53" s="29">
        <v>14710.0</v>
      </c>
      <c r="D53" s="7">
        <f t="shared" si="2"/>
        <v>8826</v>
      </c>
      <c r="E53" s="7">
        <f t="shared" ref="E53:F53" si="55">if($D53&lt;15000,$D53*12/100,15000*12/100)</f>
        <v>1059.12</v>
      </c>
      <c r="F53" s="7">
        <f t="shared" si="55"/>
        <v>1059.12</v>
      </c>
      <c r="G53" s="7">
        <f t="shared" si="4"/>
        <v>2118.24</v>
      </c>
    </row>
    <row r="54">
      <c r="A54" s="8">
        <f t="shared" si="5"/>
        <v>53</v>
      </c>
      <c r="B54" s="30" t="s">
        <v>244</v>
      </c>
      <c r="C54" s="29">
        <v>15000.0</v>
      </c>
      <c r="D54" s="7">
        <f t="shared" si="2"/>
        <v>9000</v>
      </c>
      <c r="E54" s="7">
        <f t="shared" ref="E54:F54" si="56">if($D54&lt;15000,$D54*12/100,15000*12/100)</f>
        <v>1080</v>
      </c>
      <c r="F54" s="7">
        <f t="shared" si="56"/>
        <v>1080</v>
      </c>
      <c r="G54" s="7">
        <f t="shared" si="4"/>
        <v>2160</v>
      </c>
    </row>
    <row r="55">
      <c r="A55" s="8">
        <f t="shared" si="5"/>
        <v>54</v>
      </c>
      <c r="B55" s="30" t="s">
        <v>245</v>
      </c>
      <c r="C55" s="29">
        <v>15000.0</v>
      </c>
      <c r="D55" s="7">
        <f t="shared" si="2"/>
        <v>9000</v>
      </c>
      <c r="E55" s="7">
        <f t="shared" ref="E55:F55" si="57">if($D55&lt;15000,$D55*12/100,15000*12/100)</f>
        <v>1080</v>
      </c>
      <c r="F55" s="7">
        <f t="shared" si="57"/>
        <v>1080</v>
      </c>
      <c r="G55" s="7">
        <f t="shared" si="4"/>
        <v>2160</v>
      </c>
    </row>
    <row r="56">
      <c r="A56" s="8">
        <f t="shared" si="5"/>
        <v>55</v>
      </c>
      <c r="B56" s="30" t="s">
        <v>246</v>
      </c>
      <c r="C56" s="29">
        <v>15000.0</v>
      </c>
      <c r="D56" s="7">
        <f t="shared" si="2"/>
        <v>9000</v>
      </c>
      <c r="E56" s="7">
        <f t="shared" ref="E56:F56" si="58">if($D56&lt;15000,$D56*12/100,15000*12/100)</f>
        <v>1080</v>
      </c>
      <c r="F56" s="7">
        <f t="shared" si="58"/>
        <v>1080</v>
      </c>
      <c r="G56" s="7">
        <f t="shared" si="4"/>
        <v>2160</v>
      </c>
    </row>
    <row r="57">
      <c r="A57" s="8">
        <f t="shared" si="5"/>
        <v>56</v>
      </c>
      <c r="B57" s="30" t="s">
        <v>37</v>
      </c>
      <c r="C57" s="29">
        <v>12339.0</v>
      </c>
      <c r="D57" s="7">
        <f t="shared" si="2"/>
        <v>7403.4</v>
      </c>
      <c r="E57" s="7">
        <f t="shared" ref="E57:F57" si="59">if($D57&lt;15000,$D57*12/100,15000*12/100)</f>
        <v>888.408</v>
      </c>
      <c r="F57" s="7">
        <f t="shared" si="59"/>
        <v>888.408</v>
      </c>
      <c r="G57" s="7">
        <f t="shared" si="4"/>
        <v>1776.816</v>
      </c>
    </row>
    <row r="58">
      <c r="A58" s="8">
        <f t="shared" si="5"/>
        <v>57</v>
      </c>
      <c r="B58" s="30" t="s">
        <v>247</v>
      </c>
      <c r="C58" s="2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30" t="s">
        <v>248</v>
      </c>
      <c r="C59" s="29">
        <v>28000.0</v>
      </c>
      <c r="D59" s="7">
        <f t="shared" si="2"/>
        <v>16800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</row>
    <row r="60">
      <c r="A60" s="8">
        <f t="shared" si="5"/>
        <v>59</v>
      </c>
      <c r="B60" s="30" t="s">
        <v>96</v>
      </c>
      <c r="C60" s="29">
        <v>23000.0</v>
      </c>
      <c r="D60" s="7">
        <f t="shared" si="2"/>
        <v>13800</v>
      </c>
      <c r="E60" s="7">
        <f t="shared" ref="E60:F60" si="62">if($D60&lt;15000,$D60*12/100,15000*12/100)</f>
        <v>1656</v>
      </c>
      <c r="F60" s="7">
        <f t="shared" si="62"/>
        <v>1656</v>
      </c>
      <c r="G60" s="7">
        <f t="shared" si="4"/>
        <v>3312</v>
      </c>
    </row>
    <row r="61">
      <c r="A61" s="8">
        <f t="shared" si="5"/>
        <v>60</v>
      </c>
      <c r="B61" s="30" t="s">
        <v>249</v>
      </c>
      <c r="C61" s="29">
        <v>17000.0</v>
      </c>
      <c r="D61" s="7">
        <f t="shared" si="2"/>
        <v>10200</v>
      </c>
      <c r="E61" s="7">
        <f t="shared" ref="E61:F61" si="63">if($D61&lt;15000,$D61*12/100,15000*12/100)</f>
        <v>1224</v>
      </c>
      <c r="F61" s="7">
        <f t="shared" si="63"/>
        <v>1224</v>
      </c>
      <c r="G61" s="7">
        <f t="shared" si="4"/>
        <v>2448</v>
      </c>
    </row>
    <row r="62">
      <c r="A62" s="8">
        <f t="shared" si="5"/>
        <v>61</v>
      </c>
      <c r="B62" s="30" t="s">
        <v>250</v>
      </c>
      <c r="C62" s="29">
        <v>19677.0</v>
      </c>
      <c r="D62" s="7">
        <f t="shared" si="2"/>
        <v>11806.2</v>
      </c>
      <c r="E62" s="7">
        <f t="shared" ref="E62:F62" si="64">if($D62&lt;15000,$D62*12/100,15000*12/100)</f>
        <v>1416.744</v>
      </c>
      <c r="F62" s="7">
        <f t="shared" si="64"/>
        <v>1416.744</v>
      </c>
      <c r="G62" s="7">
        <f t="shared" si="4"/>
        <v>2833.488</v>
      </c>
    </row>
    <row r="63">
      <c r="A63" s="8">
        <f t="shared" si="5"/>
        <v>62</v>
      </c>
      <c r="B63" s="30" t="s">
        <v>251</v>
      </c>
      <c r="C63" s="29">
        <v>20000.0</v>
      </c>
      <c r="D63" s="7">
        <f t="shared" si="2"/>
        <v>12000</v>
      </c>
      <c r="E63" s="7">
        <f t="shared" ref="E63:F63" si="65">if($D63&lt;15000,$D63*12/100,15000*12/100)</f>
        <v>1440</v>
      </c>
      <c r="F63" s="7">
        <f t="shared" si="65"/>
        <v>1440</v>
      </c>
      <c r="G63" s="7">
        <f t="shared" si="4"/>
        <v>2880</v>
      </c>
    </row>
    <row r="64">
      <c r="A64" s="8">
        <f t="shared" si="5"/>
        <v>63</v>
      </c>
      <c r="B64" s="30" t="s">
        <v>252</v>
      </c>
      <c r="C64" s="29">
        <v>2300.0</v>
      </c>
      <c r="D64" s="7">
        <f t="shared" si="2"/>
        <v>1380</v>
      </c>
      <c r="E64" s="7">
        <f t="shared" ref="E64:F64" si="66">if($D64&lt;15000,$D64*12/100,15000*12/100)</f>
        <v>165.6</v>
      </c>
      <c r="F64" s="7">
        <f t="shared" si="66"/>
        <v>165.6</v>
      </c>
      <c r="G64" s="7">
        <f t="shared" si="4"/>
        <v>331.2</v>
      </c>
    </row>
    <row r="65">
      <c r="A65" s="8">
        <f t="shared" si="5"/>
        <v>64</v>
      </c>
      <c r="B65" s="30" t="s">
        <v>253</v>
      </c>
      <c r="C65" s="29">
        <v>10903.0</v>
      </c>
      <c r="D65" s="7">
        <f t="shared" si="2"/>
        <v>6541.8</v>
      </c>
      <c r="E65" s="7">
        <f t="shared" ref="E65:F65" si="67">if($D65&lt;15000,$D65*12/100,15000*12/100)</f>
        <v>785.016</v>
      </c>
      <c r="F65" s="7">
        <f t="shared" si="67"/>
        <v>785.016</v>
      </c>
      <c r="G65" s="7">
        <f t="shared" si="4"/>
        <v>1570.032</v>
      </c>
    </row>
    <row r="66">
      <c r="A66" s="8">
        <f t="shared" si="5"/>
        <v>65</v>
      </c>
      <c r="B66" s="30" t="s">
        <v>254</v>
      </c>
      <c r="C66" s="29">
        <v>12903.0</v>
      </c>
      <c r="D66" s="7">
        <f t="shared" si="2"/>
        <v>7741.8</v>
      </c>
      <c r="E66" s="7">
        <f t="shared" ref="E66:F66" si="68">if($D66&lt;15000,$D66*12/100,15000*12/100)</f>
        <v>929.016</v>
      </c>
      <c r="F66" s="7">
        <f t="shared" si="68"/>
        <v>929.016</v>
      </c>
      <c r="G66" s="7">
        <f t="shared" si="4"/>
        <v>1858.032</v>
      </c>
    </row>
    <row r="67">
      <c r="A67" s="8">
        <f t="shared" si="5"/>
        <v>66</v>
      </c>
      <c r="B67" s="30" t="s">
        <v>255</v>
      </c>
      <c r="C67" s="31">
        <v>20000.0</v>
      </c>
      <c r="D67" s="7">
        <f t="shared" si="2"/>
        <v>12000</v>
      </c>
      <c r="E67" s="7">
        <f t="shared" ref="E67:F67" si="69">if($D67&lt;15000,$D67*12/100,15000*12/100)</f>
        <v>1440</v>
      </c>
      <c r="F67" s="7">
        <f t="shared" si="69"/>
        <v>1440</v>
      </c>
      <c r="G67" s="7">
        <f t="shared" si="4"/>
        <v>2880</v>
      </c>
    </row>
    <row r="68">
      <c r="A68" s="8">
        <f t="shared" si="5"/>
        <v>67</v>
      </c>
      <c r="B68" s="30" t="s">
        <v>32</v>
      </c>
      <c r="C68" s="29">
        <v>23000.0</v>
      </c>
      <c r="D68" s="7">
        <f t="shared" si="2"/>
        <v>13800</v>
      </c>
      <c r="E68" s="7">
        <f t="shared" ref="E68:F68" si="70">if($D68&lt;15000,$D68*12/100,15000*12/100)</f>
        <v>1656</v>
      </c>
      <c r="F68" s="7">
        <f t="shared" si="70"/>
        <v>1656</v>
      </c>
      <c r="G68" s="7">
        <f t="shared" si="4"/>
        <v>3312</v>
      </c>
    </row>
    <row r="69">
      <c r="A69" s="8">
        <f t="shared" si="5"/>
        <v>68</v>
      </c>
      <c r="B69" s="30" t="s">
        <v>30</v>
      </c>
      <c r="C69" s="29">
        <v>17000.0</v>
      </c>
      <c r="D69" s="7">
        <f t="shared" si="2"/>
        <v>10200</v>
      </c>
      <c r="E69" s="7">
        <f t="shared" ref="E69:F69" si="71">if($D69&lt;15000,$D69*12/100,15000*12/100)</f>
        <v>1224</v>
      </c>
      <c r="F69" s="7">
        <f t="shared" si="71"/>
        <v>1224</v>
      </c>
      <c r="G69" s="7">
        <f t="shared" si="4"/>
        <v>2448</v>
      </c>
    </row>
    <row r="70">
      <c r="A70" s="8">
        <f t="shared" si="5"/>
        <v>69</v>
      </c>
      <c r="B70" s="30" t="s">
        <v>256</v>
      </c>
      <c r="C70" s="29">
        <v>19032.0</v>
      </c>
      <c r="D70" s="7">
        <f t="shared" si="2"/>
        <v>11419.2</v>
      </c>
      <c r="E70" s="7">
        <f t="shared" ref="E70:F70" si="72">if($D70&lt;15000,$D70*12/100,15000*12/100)</f>
        <v>1370.304</v>
      </c>
      <c r="F70" s="7">
        <f t="shared" si="72"/>
        <v>1370.304</v>
      </c>
      <c r="G70" s="7">
        <f t="shared" si="4"/>
        <v>2740.608</v>
      </c>
    </row>
    <row r="71">
      <c r="A71" s="8">
        <f t="shared" si="5"/>
        <v>70</v>
      </c>
      <c r="B71" s="30" t="s">
        <v>257</v>
      </c>
      <c r="C71" s="29">
        <v>19661.0</v>
      </c>
      <c r="D71" s="7">
        <f t="shared" si="2"/>
        <v>11796.6</v>
      </c>
      <c r="E71" s="7">
        <f t="shared" ref="E71:F71" si="73">if($D71&lt;15000,$D71*12/100,15000*12/100)</f>
        <v>1415.592</v>
      </c>
      <c r="F71" s="7">
        <f t="shared" si="73"/>
        <v>1415.592</v>
      </c>
      <c r="G71" s="7">
        <f t="shared" si="4"/>
        <v>2831.184</v>
      </c>
    </row>
    <row r="72">
      <c r="A72" s="8">
        <f t="shared" si="5"/>
        <v>71</v>
      </c>
      <c r="B72" s="30" t="s">
        <v>258</v>
      </c>
      <c r="C72" s="29">
        <v>11968.0</v>
      </c>
      <c r="D72" s="7">
        <f t="shared" si="2"/>
        <v>7180.8</v>
      </c>
      <c r="E72" s="7">
        <f t="shared" ref="E72:F72" si="74">if($D72&lt;15000,$D72*12/100,15000*12/100)</f>
        <v>861.696</v>
      </c>
      <c r="F72" s="7">
        <f t="shared" si="74"/>
        <v>861.696</v>
      </c>
      <c r="G72" s="7">
        <f t="shared" si="4"/>
        <v>1723.392</v>
      </c>
    </row>
    <row r="73">
      <c r="A73" s="8">
        <f t="shared" si="5"/>
        <v>72</v>
      </c>
      <c r="B73" s="30" t="s">
        <v>259</v>
      </c>
      <c r="C73" s="29">
        <v>18081.0</v>
      </c>
      <c r="D73" s="7">
        <f t="shared" si="2"/>
        <v>10848.6</v>
      </c>
      <c r="E73" s="7">
        <f t="shared" ref="E73:F73" si="75">if($D73&lt;15000,$D73*12/100,15000*12/100)</f>
        <v>1301.832</v>
      </c>
      <c r="F73" s="7">
        <f t="shared" si="75"/>
        <v>1301.832</v>
      </c>
      <c r="G73" s="7">
        <f t="shared" si="4"/>
        <v>2603.664</v>
      </c>
    </row>
    <row r="74">
      <c r="A74" s="8">
        <f t="shared" si="5"/>
        <v>73</v>
      </c>
      <c r="B74" s="30" t="s">
        <v>260</v>
      </c>
      <c r="C74" s="29">
        <v>14516.0</v>
      </c>
      <c r="D74" s="7">
        <f t="shared" si="2"/>
        <v>8709.6</v>
      </c>
      <c r="E74" s="7">
        <f t="shared" ref="E74:F74" si="76">if($D74&lt;15000,$D74*12/100,15000*12/100)</f>
        <v>1045.152</v>
      </c>
      <c r="F74" s="7">
        <f t="shared" si="76"/>
        <v>1045.152</v>
      </c>
      <c r="G74" s="7">
        <f t="shared" si="4"/>
        <v>2090.304</v>
      </c>
    </row>
    <row r="75">
      <c r="A75" s="8">
        <f t="shared" si="5"/>
        <v>74</v>
      </c>
      <c r="B75" s="30" t="s">
        <v>261</v>
      </c>
      <c r="C75" s="29">
        <v>15000.0</v>
      </c>
      <c r="D75" s="7">
        <f t="shared" si="2"/>
        <v>9000</v>
      </c>
      <c r="E75" s="7">
        <f t="shared" ref="E75:F75" si="77">if($D75&lt;15000,$D75*12/100,15000*12/100)</f>
        <v>1080</v>
      </c>
      <c r="F75" s="7">
        <f t="shared" si="77"/>
        <v>1080</v>
      </c>
      <c r="G75" s="7">
        <f t="shared" si="4"/>
        <v>2160</v>
      </c>
    </row>
    <row r="76">
      <c r="A76" s="8">
        <f t="shared" si="5"/>
        <v>75</v>
      </c>
      <c r="B76" s="30" t="s">
        <v>262</v>
      </c>
      <c r="C76" s="29">
        <v>14516.0</v>
      </c>
      <c r="D76" s="7">
        <f t="shared" si="2"/>
        <v>8709.6</v>
      </c>
      <c r="E76" s="7">
        <f t="shared" ref="E76:F76" si="78">if($D76&lt;15000,$D76*12/100,15000*12/100)</f>
        <v>1045.152</v>
      </c>
      <c r="F76" s="7">
        <f t="shared" si="78"/>
        <v>1045.152</v>
      </c>
      <c r="G76" s="7">
        <f t="shared" si="4"/>
        <v>2090.304</v>
      </c>
    </row>
    <row r="77">
      <c r="A77" s="8">
        <f t="shared" si="5"/>
        <v>76</v>
      </c>
      <c r="B77" s="30" t="s">
        <v>263</v>
      </c>
      <c r="C77" s="29">
        <v>13065.0</v>
      </c>
      <c r="D77" s="7">
        <f t="shared" si="2"/>
        <v>7839</v>
      </c>
      <c r="E77" s="7">
        <f t="shared" ref="E77:F77" si="79">if($D77&lt;15000,$D77*12/100,15000*12/100)</f>
        <v>940.68</v>
      </c>
      <c r="F77" s="7">
        <f t="shared" si="79"/>
        <v>940.68</v>
      </c>
      <c r="G77" s="7">
        <f t="shared" si="4"/>
        <v>1881.36</v>
      </c>
    </row>
    <row r="78">
      <c r="A78" s="9" t="s">
        <v>34</v>
      </c>
      <c r="B78" s="10"/>
      <c r="C78" s="32">
        <f t="shared" ref="C78:G78" si="80">sum(C2:C77)</f>
        <v>1853059</v>
      </c>
      <c r="D78" s="11">
        <f t="shared" si="80"/>
        <v>1111835.4</v>
      </c>
      <c r="E78" s="11">
        <f t="shared" si="80"/>
        <v>106306.488</v>
      </c>
      <c r="F78" s="11">
        <f t="shared" si="80"/>
        <v>106306.488</v>
      </c>
      <c r="G78" s="11">
        <f t="shared" si="80"/>
        <v>212612.976</v>
      </c>
    </row>
  </sheetData>
  <mergeCells count="1">
    <mergeCell ref="A78:B78"/>
  </mergeCells>
  <hyperlinks>
    <hyperlink r:id="rId1" ref="A1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33" t="s">
        <v>193</v>
      </c>
      <c r="C2" s="34">
        <v>80000.0</v>
      </c>
      <c r="D2" s="7">
        <f t="shared" ref="D2:D85" si="2">C2*60/100</f>
        <v>48000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5" si="4">E2+F2</f>
        <v>3600</v>
      </c>
    </row>
    <row r="3">
      <c r="A3" s="8">
        <f t="shared" ref="A3:A85" si="5">A2+1</f>
        <v>2</v>
      </c>
      <c r="B3" s="33" t="s">
        <v>194</v>
      </c>
      <c r="C3" s="35">
        <v>61855.0</v>
      </c>
      <c r="D3" s="7">
        <f t="shared" si="2"/>
        <v>37113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33" t="s">
        <v>195</v>
      </c>
      <c r="C4" s="35">
        <v>59000.0</v>
      </c>
      <c r="D4" s="7">
        <f t="shared" si="2"/>
        <v>35400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33" t="s">
        <v>196</v>
      </c>
      <c r="C5" s="35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33" t="s">
        <v>197</v>
      </c>
      <c r="C6" s="35">
        <v>73790.0</v>
      </c>
      <c r="D6" s="7">
        <f t="shared" si="2"/>
        <v>44274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33" t="s">
        <v>198</v>
      </c>
      <c r="C7" s="35">
        <v>72032.0</v>
      </c>
      <c r="D7" s="7">
        <f t="shared" si="2"/>
        <v>43219.2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33" t="s">
        <v>199</v>
      </c>
      <c r="C8" s="35">
        <v>72000.0</v>
      </c>
      <c r="D8" s="7">
        <f t="shared" si="2"/>
        <v>43200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33" t="s">
        <v>200</v>
      </c>
      <c r="C9" s="35">
        <v>34435.0</v>
      </c>
      <c r="D9" s="7">
        <f t="shared" si="2"/>
        <v>20661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33" t="s">
        <v>201</v>
      </c>
      <c r="C10" s="35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33" t="s">
        <v>202</v>
      </c>
      <c r="C11" s="35">
        <v>26565.0</v>
      </c>
      <c r="D11" s="7">
        <f t="shared" si="2"/>
        <v>15939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33" t="s">
        <v>203</v>
      </c>
      <c r="C12" s="35">
        <v>37387.0</v>
      </c>
      <c r="D12" s="7">
        <f t="shared" si="2"/>
        <v>22432.2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33" t="s">
        <v>204</v>
      </c>
      <c r="C13" s="35">
        <v>34000.0</v>
      </c>
      <c r="D13" s="7">
        <f t="shared" si="2"/>
        <v>20400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33" t="s">
        <v>205</v>
      </c>
      <c r="C14" s="35">
        <v>36403.0</v>
      </c>
      <c r="D14" s="7">
        <f t="shared" si="2"/>
        <v>21841.8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33" t="s">
        <v>206</v>
      </c>
      <c r="C15" s="35">
        <v>27000.0</v>
      </c>
      <c r="D15" s="7">
        <f t="shared" si="2"/>
        <v>16200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33" t="s">
        <v>207</v>
      </c>
      <c r="C16" s="35">
        <v>39000.0</v>
      </c>
      <c r="D16" s="7">
        <f t="shared" si="2"/>
        <v>23400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33" t="s">
        <v>208</v>
      </c>
      <c r="C17" s="35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33" t="s">
        <v>209</v>
      </c>
      <c r="C18" s="35">
        <v>28000.0</v>
      </c>
      <c r="D18" s="7">
        <f t="shared" si="2"/>
        <v>16800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33" t="s">
        <v>210</v>
      </c>
      <c r="C19" s="35">
        <v>31000.0</v>
      </c>
      <c r="D19" s="7">
        <f t="shared" si="2"/>
        <v>18600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33" t="s">
        <v>211</v>
      </c>
      <c r="C20" s="35">
        <v>32000.0</v>
      </c>
      <c r="D20" s="7">
        <f t="shared" si="2"/>
        <v>19200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33" t="s">
        <v>212</v>
      </c>
      <c r="C21" s="35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33" t="s">
        <v>213</v>
      </c>
      <c r="C22" s="35">
        <v>24000.0</v>
      </c>
      <c r="D22" s="7">
        <f t="shared" si="2"/>
        <v>14400</v>
      </c>
      <c r="E22" s="7">
        <f t="shared" ref="E22:F22" si="24">if($D22&lt;15000,$D22*12/100,15000*12/100)</f>
        <v>1728</v>
      </c>
      <c r="F22" s="7">
        <f t="shared" si="24"/>
        <v>1728</v>
      </c>
      <c r="G22" s="7">
        <f t="shared" si="4"/>
        <v>3456</v>
      </c>
    </row>
    <row r="23">
      <c r="A23" s="8">
        <f t="shared" si="5"/>
        <v>22</v>
      </c>
      <c r="B23" s="33" t="s">
        <v>214</v>
      </c>
      <c r="C23" s="35">
        <v>22839.0</v>
      </c>
      <c r="D23" s="7">
        <f t="shared" si="2"/>
        <v>13703.4</v>
      </c>
      <c r="E23" s="7">
        <f t="shared" ref="E23:F23" si="25">if($D23&lt;15000,$D23*12/100,15000*12/100)</f>
        <v>1644.408</v>
      </c>
      <c r="F23" s="7">
        <f t="shared" si="25"/>
        <v>1644.408</v>
      </c>
      <c r="G23" s="7">
        <f t="shared" si="4"/>
        <v>3288.816</v>
      </c>
    </row>
    <row r="24">
      <c r="A24" s="8">
        <f t="shared" si="5"/>
        <v>23</v>
      </c>
      <c r="B24" s="33" t="s">
        <v>216</v>
      </c>
      <c r="C24" s="35">
        <v>25000.0</v>
      </c>
      <c r="D24" s="7">
        <f t="shared" si="2"/>
        <v>15000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33" t="s">
        <v>217</v>
      </c>
      <c r="C25" s="35">
        <v>22000.0</v>
      </c>
      <c r="D25" s="7">
        <f t="shared" si="2"/>
        <v>13200</v>
      </c>
      <c r="E25" s="7">
        <f t="shared" ref="E25:F25" si="27">if($D25&lt;15000,$D25*12/100,15000*12/100)</f>
        <v>1584</v>
      </c>
      <c r="F25" s="7">
        <f t="shared" si="27"/>
        <v>1584</v>
      </c>
      <c r="G25" s="7">
        <f t="shared" si="4"/>
        <v>3168</v>
      </c>
    </row>
    <row r="26">
      <c r="A26" s="8">
        <f t="shared" si="5"/>
        <v>25</v>
      </c>
      <c r="B26" s="33" t="s">
        <v>218</v>
      </c>
      <c r="C26" s="35">
        <v>21677.0</v>
      </c>
      <c r="D26" s="7">
        <f t="shared" si="2"/>
        <v>13006.2</v>
      </c>
      <c r="E26" s="7">
        <f t="shared" ref="E26:F26" si="28">if($D26&lt;15000,$D26*12/100,15000*12/100)</f>
        <v>1560.744</v>
      </c>
      <c r="F26" s="7">
        <f t="shared" si="28"/>
        <v>1560.744</v>
      </c>
      <c r="G26" s="7">
        <f t="shared" si="4"/>
        <v>3121.488</v>
      </c>
    </row>
    <row r="27">
      <c r="A27" s="8">
        <f t="shared" si="5"/>
        <v>26</v>
      </c>
      <c r="B27" s="33" t="s">
        <v>219</v>
      </c>
      <c r="C27" s="35">
        <v>19000.0</v>
      </c>
      <c r="D27" s="7">
        <f t="shared" si="2"/>
        <v>11400</v>
      </c>
      <c r="E27" s="7">
        <f t="shared" ref="E27:F27" si="29">if($D27&lt;15000,$D27*12/100,15000*12/100)</f>
        <v>1368</v>
      </c>
      <c r="F27" s="7">
        <f t="shared" si="29"/>
        <v>1368</v>
      </c>
      <c r="G27" s="7">
        <f t="shared" si="4"/>
        <v>2736</v>
      </c>
    </row>
    <row r="28">
      <c r="A28" s="8">
        <f t="shared" si="5"/>
        <v>27</v>
      </c>
      <c r="B28" s="33" t="s">
        <v>220</v>
      </c>
      <c r="C28" s="35">
        <v>26129.0</v>
      </c>
      <c r="D28" s="7">
        <f t="shared" si="2"/>
        <v>15677.4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</row>
    <row r="29">
      <c r="A29" s="8">
        <f t="shared" si="5"/>
        <v>28</v>
      </c>
      <c r="B29" s="33" t="s">
        <v>221</v>
      </c>
      <c r="C29" s="35">
        <v>23226.0</v>
      </c>
      <c r="D29" s="7">
        <f t="shared" si="2"/>
        <v>13935.6</v>
      </c>
      <c r="E29" s="7">
        <f t="shared" ref="E29:F29" si="31">if($D29&lt;15000,$D29*12/100,15000*12/100)</f>
        <v>1672.272</v>
      </c>
      <c r="F29" s="7">
        <f t="shared" si="31"/>
        <v>1672.272</v>
      </c>
      <c r="G29" s="7">
        <f t="shared" si="4"/>
        <v>3344.544</v>
      </c>
    </row>
    <row r="30">
      <c r="A30" s="8">
        <f t="shared" si="5"/>
        <v>29</v>
      </c>
      <c r="B30" s="33" t="s">
        <v>222</v>
      </c>
      <c r="C30" s="35">
        <v>25000.0</v>
      </c>
      <c r="D30" s="7">
        <f t="shared" si="2"/>
        <v>15000</v>
      </c>
      <c r="E30" s="7">
        <f t="shared" ref="E30:F30" si="32">if($D30&lt;15000,$D30*12/100,15000*12/100)</f>
        <v>1800</v>
      </c>
      <c r="F30" s="7">
        <f t="shared" si="32"/>
        <v>1800</v>
      </c>
      <c r="G30" s="7">
        <f t="shared" si="4"/>
        <v>3600</v>
      </c>
    </row>
    <row r="31">
      <c r="A31" s="8">
        <f t="shared" si="5"/>
        <v>30</v>
      </c>
      <c r="B31" s="33" t="s">
        <v>223</v>
      </c>
      <c r="C31" s="35">
        <v>21887.0</v>
      </c>
      <c r="D31" s="7">
        <f t="shared" si="2"/>
        <v>13132.2</v>
      </c>
      <c r="E31" s="7">
        <f t="shared" ref="E31:F31" si="33">if($D31&lt;15000,$D31*12/100,15000*12/100)</f>
        <v>1575.864</v>
      </c>
      <c r="F31" s="7">
        <f t="shared" si="33"/>
        <v>1575.864</v>
      </c>
      <c r="G31" s="7">
        <f t="shared" si="4"/>
        <v>3151.728</v>
      </c>
    </row>
    <row r="32">
      <c r="A32" s="8">
        <f t="shared" si="5"/>
        <v>31</v>
      </c>
      <c r="B32" s="33" t="s">
        <v>86</v>
      </c>
      <c r="C32" s="35">
        <v>18194.0</v>
      </c>
      <c r="D32" s="7">
        <f t="shared" si="2"/>
        <v>10916.4</v>
      </c>
      <c r="E32" s="7">
        <f t="shared" ref="E32:F32" si="34">if($D32&lt;15000,$D32*12/100,15000*12/100)</f>
        <v>1309.968</v>
      </c>
      <c r="F32" s="7">
        <f t="shared" si="34"/>
        <v>1309.968</v>
      </c>
      <c r="G32" s="7">
        <f t="shared" si="4"/>
        <v>2619.936</v>
      </c>
    </row>
    <row r="33">
      <c r="A33" s="8">
        <f t="shared" si="5"/>
        <v>32</v>
      </c>
      <c r="B33" s="33" t="s">
        <v>224</v>
      </c>
      <c r="C33" s="35">
        <v>25000.0</v>
      </c>
      <c r="D33" s="7">
        <f t="shared" si="2"/>
        <v>15000</v>
      </c>
      <c r="E33" s="7">
        <f t="shared" ref="E33:F33" si="35">if($D33&lt;15000,$D33*12/100,15000*12/100)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33" t="s">
        <v>225</v>
      </c>
      <c r="C34" s="35">
        <v>16258.0</v>
      </c>
      <c r="D34" s="7">
        <f t="shared" si="2"/>
        <v>9754.8</v>
      </c>
      <c r="E34" s="7">
        <f t="shared" ref="E34:F34" si="36">if($D34&lt;15000,$D34*12/100,15000*12/100)</f>
        <v>1170.576</v>
      </c>
      <c r="F34" s="7">
        <f t="shared" si="36"/>
        <v>1170.576</v>
      </c>
      <c r="G34" s="7">
        <f t="shared" si="4"/>
        <v>2341.152</v>
      </c>
    </row>
    <row r="35">
      <c r="A35" s="8">
        <f t="shared" si="5"/>
        <v>34</v>
      </c>
      <c r="B35" s="33" t="s">
        <v>226</v>
      </c>
      <c r="C35" s="35">
        <v>17000.0</v>
      </c>
      <c r="D35" s="7">
        <f t="shared" si="2"/>
        <v>10200</v>
      </c>
      <c r="E35" s="7">
        <f t="shared" ref="E35:F35" si="37">if($D35&lt;15000,$D35*12/100,15000*12/100)</f>
        <v>1224</v>
      </c>
      <c r="F35" s="7">
        <f t="shared" si="37"/>
        <v>1224</v>
      </c>
      <c r="G35" s="7">
        <f t="shared" si="4"/>
        <v>2448</v>
      </c>
    </row>
    <row r="36">
      <c r="A36" s="8">
        <f t="shared" si="5"/>
        <v>35</v>
      </c>
      <c r="B36" s="33" t="s">
        <v>227</v>
      </c>
      <c r="C36" s="35">
        <v>15903.0</v>
      </c>
      <c r="D36" s="7">
        <f t="shared" si="2"/>
        <v>9541.8</v>
      </c>
      <c r="E36" s="7">
        <f t="shared" ref="E36:F36" si="38">if($D36&lt;15000,$D36*12/100,15000*12/100)</f>
        <v>1145.016</v>
      </c>
      <c r="F36" s="7">
        <f t="shared" si="38"/>
        <v>1145.016</v>
      </c>
      <c r="G36" s="7">
        <f t="shared" si="4"/>
        <v>2290.032</v>
      </c>
    </row>
    <row r="37">
      <c r="A37" s="8">
        <f t="shared" si="5"/>
        <v>36</v>
      </c>
      <c r="B37" s="33" t="s">
        <v>228</v>
      </c>
      <c r="C37" s="35">
        <v>15000.0</v>
      </c>
      <c r="D37" s="7">
        <f t="shared" si="2"/>
        <v>9000</v>
      </c>
      <c r="E37" s="7">
        <f t="shared" ref="E37:F37" si="39">if($D37&lt;15000,$D37*12/100,15000*12/100)</f>
        <v>1080</v>
      </c>
      <c r="F37" s="7">
        <f t="shared" si="39"/>
        <v>1080</v>
      </c>
      <c r="G37" s="7">
        <f t="shared" si="4"/>
        <v>2160</v>
      </c>
    </row>
    <row r="38">
      <c r="A38" s="8">
        <f t="shared" si="5"/>
        <v>37</v>
      </c>
      <c r="B38" s="36" t="s">
        <v>229</v>
      </c>
      <c r="C38" s="35">
        <v>22839.0</v>
      </c>
      <c r="D38" s="7">
        <f t="shared" si="2"/>
        <v>13703.4</v>
      </c>
      <c r="E38" s="7">
        <f t="shared" ref="E38:F38" si="40">if($D38&lt;15000,$D38*12/100,15000*12/100)</f>
        <v>1644.408</v>
      </c>
      <c r="F38" s="7">
        <f t="shared" si="40"/>
        <v>1644.408</v>
      </c>
      <c r="G38" s="7">
        <f t="shared" si="4"/>
        <v>3288.816</v>
      </c>
    </row>
    <row r="39">
      <c r="A39" s="8">
        <f t="shared" si="5"/>
        <v>38</v>
      </c>
      <c r="B39" s="36" t="s">
        <v>230</v>
      </c>
      <c r="C39" s="35">
        <v>18387.0</v>
      </c>
      <c r="D39" s="7">
        <f t="shared" si="2"/>
        <v>11032.2</v>
      </c>
      <c r="E39" s="7">
        <f t="shared" ref="E39:F39" si="41">if($D39&lt;15000,$D39*12/100,15000*12/100)</f>
        <v>1323.864</v>
      </c>
      <c r="F39" s="7">
        <f t="shared" si="41"/>
        <v>1323.864</v>
      </c>
      <c r="G39" s="7">
        <f t="shared" si="4"/>
        <v>2647.728</v>
      </c>
    </row>
    <row r="40">
      <c r="A40" s="8">
        <f t="shared" si="5"/>
        <v>39</v>
      </c>
      <c r="B40" s="36" t="s">
        <v>231</v>
      </c>
      <c r="C40" s="35">
        <v>25000.0</v>
      </c>
      <c r="D40" s="7">
        <f t="shared" si="2"/>
        <v>15000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36" t="s">
        <v>233</v>
      </c>
      <c r="C41" s="35">
        <v>17710.0</v>
      </c>
      <c r="D41" s="7">
        <f t="shared" si="2"/>
        <v>10626</v>
      </c>
      <c r="E41" s="7">
        <f t="shared" ref="E41:F41" si="43">if($D41&lt;15000,$D41*12/100,15000*12/100)</f>
        <v>1275.12</v>
      </c>
      <c r="F41" s="7">
        <f t="shared" si="43"/>
        <v>1275.12</v>
      </c>
      <c r="G41" s="7">
        <f t="shared" si="4"/>
        <v>2550.24</v>
      </c>
    </row>
    <row r="42">
      <c r="A42" s="8">
        <f t="shared" si="5"/>
        <v>41</v>
      </c>
      <c r="B42" s="36" t="s">
        <v>234</v>
      </c>
      <c r="C42" s="35">
        <v>8581.0</v>
      </c>
      <c r="D42" s="7">
        <f t="shared" si="2"/>
        <v>5148.6</v>
      </c>
      <c r="E42" s="7">
        <f t="shared" ref="E42:F42" si="44">if($D42&lt;15000,$D42*12/100,15000*12/100)</f>
        <v>617.832</v>
      </c>
      <c r="F42" s="7">
        <f t="shared" si="44"/>
        <v>617.832</v>
      </c>
      <c r="G42" s="7">
        <f t="shared" si="4"/>
        <v>1235.664</v>
      </c>
    </row>
    <row r="43">
      <c r="A43" s="8">
        <f t="shared" si="5"/>
        <v>42</v>
      </c>
      <c r="B43" s="36" t="s">
        <v>235</v>
      </c>
      <c r="C43" s="35">
        <v>22000.0</v>
      </c>
      <c r="D43" s="7">
        <f t="shared" si="2"/>
        <v>13200</v>
      </c>
      <c r="E43" s="7">
        <f t="shared" ref="E43:F43" si="45">if($D43&lt;15000,$D43*12/100,15000*12/100)</f>
        <v>1584</v>
      </c>
      <c r="F43" s="7">
        <f t="shared" si="45"/>
        <v>1584</v>
      </c>
      <c r="G43" s="7">
        <f t="shared" si="4"/>
        <v>3168</v>
      </c>
    </row>
    <row r="44">
      <c r="A44" s="8">
        <f t="shared" si="5"/>
        <v>43</v>
      </c>
      <c r="B44" s="36" t="s">
        <v>236</v>
      </c>
      <c r="C44" s="35">
        <v>19000.0</v>
      </c>
      <c r="D44" s="7">
        <f t="shared" si="2"/>
        <v>11400</v>
      </c>
      <c r="E44" s="7">
        <f t="shared" ref="E44:F44" si="46">if($D44&lt;15000,$D44*12/100,15000*12/100)</f>
        <v>1368</v>
      </c>
      <c r="F44" s="7">
        <f t="shared" si="46"/>
        <v>1368</v>
      </c>
      <c r="G44" s="7">
        <f t="shared" si="4"/>
        <v>2736</v>
      </c>
    </row>
    <row r="45">
      <c r="A45" s="8">
        <f t="shared" si="5"/>
        <v>44</v>
      </c>
      <c r="B45" s="36" t="s">
        <v>237</v>
      </c>
      <c r="C45" s="35">
        <v>20000.0</v>
      </c>
      <c r="D45" s="7">
        <f t="shared" si="2"/>
        <v>12000</v>
      </c>
      <c r="E45" s="7">
        <f t="shared" ref="E45:F45" si="47">if($D45&lt;15000,$D45*12/100,15000*12/100)</f>
        <v>1440</v>
      </c>
      <c r="F45" s="7">
        <f t="shared" si="47"/>
        <v>1440</v>
      </c>
      <c r="G45" s="7">
        <f t="shared" si="4"/>
        <v>2880</v>
      </c>
    </row>
    <row r="46">
      <c r="A46" s="8">
        <f t="shared" si="5"/>
        <v>45</v>
      </c>
      <c r="B46" s="36" t="s">
        <v>238</v>
      </c>
      <c r="C46" s="35">
        <v>14032.0</v>
      </c>
      <c r="D46" s="7">
        <f t="shared" si="2"/>
        <v>8419.2</v>
      </c>
      <c r="E46" s="7">
        <f t="shared" ref="E46:F46" si="48">if($D46&lt;15000,$D46*12/100,15000*12/100)</f>
        <v>1010.304</v>
      </c>
      <c r="F46" s="7">
        <f t="shared" si="48"/>
        <v>1010.304</v>
      </c>
      <c r="G46" s="7">
        <f t="shared" si="4"/>
        <v>2020.608</v>
      </c>
    </row>
    <row r="47">
      <c r="A47" s="8">
        <f t="shared" si="5"/>
        <v>46</v>
      </c>
      <c r="B47" s="36" t="s">
        <v>239</v>
      </c>
      <c r="C47" s="35">
        <v>19000.0</v>
      </c>
      <c r="D47" s="7">
        <f t="shared" si="2"/>
        <v>11400</v>
      </c>
      <c r="E47" s="7">
        <f t="shared" ref="E47:F47" si="49">if($D47&lt;15000,$D47*12/100,15000*12/100)</f>
        <v>1368</v>
      </c>
      <c r="F47" s="7">
        <f t="shared" si="49"/>
        <v>1368</v>
      </c>
      <c r="G47" s="7">
        <f t="shared" si="4"/>
        <v>2736</v>
      </c>
    </row>
    <row r="48">
      <c r="A48" s="8">
        <f t="shared" si="5"/>
        <v>47</v>
      </c>
      <c r="B48" s="36" t="s">
        <v>240</v>
      </c>
      <c r="C48" s="35">
        <v>20000.0</v>
      </c>
      <c r="D48" s="7">
        <f t="shared" si="2"/>
        <v>12000</v>
      </c>
      <c r="E48" s="7">
        <f t="shared" ref="E48:F48" si="50">if($D48&lt;15000,$D48*12/100,15000*12/100)</f>
        <v>1440</v>
      </c>
      <c r="F48" s="7">
        <f t="shared" si="50"/>
        <v>1440</v>
      </c>
      <c r="G48" s="7">
        <f t="shared" si="4"/>
        <v>2880</v>
      </c>
    </row>
    <row r="49">
      <c r="A49" s="8">
        <f t="shared" si="5"/>
        <v>48</v>
      </c>
      <c r="B49" s="36" t="s">
        <v>241</v>
      </c>
      <c r="C49" s="35">
        <v>16000.0</v>
      </c>
      <c r="D49" s="7">
        <f t="shared" si="2"/>
        <v>9600</v>
      </c>
      <c r="E49" s="7">
        <f t="shared" ref="E49:F49" si="51">if($D49&lt;15000,$D49*12/100,15000*12/100)</f>
        <v>1152</v>
      </c>
      <c r="F49" s="7">
        <f t="shared" si="51"/>
        <v>1152</v>
      </c>
      <c r="G49" s="7">
        <f t="shared" si="4"/>
        <v>2304</v>
      </c>
    </row>
    <row r="50">
      <c r="A50" s="8">
        <f t="shared" si="5"/>
        <v>49</v>
      </c>
      <c r="B50" s="36" t="s">
        <v>242</v>
      </c>
      <c r="C50" s="35">
        <v>17000.0</v>
      </c>
      <c r="D50" s="7">
        <f t="shared" si="2"/>
        <v>10200</v>
      </c>
      <c r="E50" s="7">
        <f t="shared" ref="E50:F50" si="52">if($D50&lt;15000,$D50*12/100,15000*12/100)</f>
        <v>1224</v>
      </c>
      <c r="F50" s="7">
        <f t="shared" si="52"/>
        <v>1224</v>
      </c>
      <c r="G50" s="7">
        <f t="shared" si="4"/>
        <v>2448</v>
      </c>
    </row>
    <row r="51">
      <c r="A51" s="8">
        <f t="shared" si="5"/>
        <v>50</v>
      </c>
      <c r="B51" s="36" t="s">
        <v>243</v>
      </c>
      <c r="C51" s="35">
        <v>16000.0</v>
      </c>
      <c r="D51" s="7">
        <f t="shared" si="2"/>
        <v>9600</v>
      </c>
      <c r="E51" s="7">
        <f t="shared" ref="E51:F51" si="53">if($D51&lt;15000,$D51*12/100,15000*12/100)</f>
        <v>1152</v>
      </c>
      <c r="F51" s="7">
        <f t="shared" si="53"/>
        <v>1152</v>
      </c>
      <c r="G51" s="7">
        <f t="shared" si="4"/>
        <v>2304</v>
      </c>
    </row>
    <row r="52">
      <c r="A52" s="8">
        <f t="shared" si="5"/>
        <v>51</v>
      </c>
      <c r="B52" s="36" t="s">
        <v>244</v>
      </c>
      <c r="C52" s="35">
        <v>15000.0</v>
      </c>
      <c r="D52" s="7">
        <f t="shared" si="2"/>
        <v>9000</v>
      </c>
      <c r="E52" s="7">
        <f t="shared" ref="E52:F52" si="54">if($D52&lt;15000,$D52*12/100,15000*12/100)</f>
        <v>1080</v>
      </c>
      <c r="F52" s="7">
        <f t="shared" si="54"/>
        <v>1080</v>
      </c>
      <c r="G52" s="7">
        <f t="shared" si="4"/>
        <v>2160</v>
      </c>
    </row>
    <row r="53">
      <c r="A53" s="8">
        <f t="shared" si="5"/>
        <v>52</v>
      </c>
      <c r="B53" s="36" t="s">
        <v>245</v>
      </c>
      <c r="C53" s="35">
        <v>15000.0</v>
      </c>
      <c r="D53" s="7">
        <f t="shared" si="2"/>
        <v>9000</v>
      </c>
      <c r="E53" s="7">
        <f t="shared" ref="E53:F53" si="55">if($D53&lt;15000,$D53*12/100,15000*12/100)</f>
        <v>1080</v>
      </c>
      <c r="F53" s="7">
        <f t="shared" si="55"/>
        <v>1080</v>
      </c>
      <c r="G53" s="7">
        <f t="shared" si="4"/>
        <v>2160</v>
      </c>
    </row>
    <row r="54">
      <c r="A54" s="8">
        <f t="shared" si="5"/>
        <v>53</v>
      </c>
      <c r="B54" s="36" t="s">
        <v>246</v>
      </c>
      <c r="C54" s="35">
        <v>14274.0</v>
      </c>
      <c r="D54" s="7">
        <f t="shared" si="2"/>
        <v>8564.4</v>
      </c>
      <c r="E54" s="7">
        <f t="shared" ref="E54:F54" si="56">if($D54&lt;15000,$D54*12/100,15000*12/100)</f>
        <v>1027.728</v>
      </c>
      <c r="F54" s="7">
        <f t="shared" si="56"/>
        <v>1027.728</v>
      </c>
      <c r="G54" s="7">
        <f t="shared" si="4"/>
        <v>2055.456</v>
      </c>
    </row>
    <row r="55">
      <c r="A55" s="8">
        <f t="shared" si="5"/>
        <v>54</v>
      </c>
      <c r="B55" s="36" t="s">
        <v>37</v>
      </c>
      <c r="C55" s="35">
        <v>15000.0</v>
      </c>
      <c r="D55" s="7">
        <f t="shared" si="2"/>
        <v>9000</v>
      </c>
      <c r="E55" s="7">
        <f t="shared" ref="E55:F55" si="57">if($D55&lt;15000,$D55*12/100,15000*12/100)</f>
        <v>1080</v>
      </c>
      <c r="F55" s="7">
        <f t="shared" si="57"/>
        <v>1080</v>
      </c>
      <c r="G55" s="7">
        <f t="shared" si="4"/>
        <v>2160</v>
      </c>
    </row>
    <row r="56">
      <c r="A56" s="8">
        <f t="shared" si="5"/>
        <v>55</v>
      </c>
      <c r="B56" s="36" t="s">
        <v>247</v>
      </c>
      <c r="C56" s="35">
        <v>20000.0</v>
      </c>
      <c r="D56" s="7">
        <f t="shared" si="2"/>
        <v>12000</v>
      </c>
      <c r="E56" s="7">
        <f t="shared" ref="E56:F56" si="58">if($D56&lt;15000,$D56*12/100,15000*12/100)</f>
        <v>1440</v>
      </c>
      <c r="F56" s="7">
        <f t="shared" si="58"/>
        <v>1440</v>
      </c>
      <c r="G56" s="7">
        <f t="shared" si="4"/>
        <v>2880</v>
      </c>
    </row>
    <row r="57">
      <c r="A57" s="8">
        <f t="shared" si="5"/>
        <v>56</v>
      </c>
      <c r="B57" s="36" t="s">
        <v>248</v>
      </c>
      <c r="C57" s="35">
        <v>25742.0</v>
      </c>
      <c r="D57" s="7">
        <f t="shared" si="2"/>
        <v>15445.2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36" t="s">
        <v>96</v>
      </c>
      <c r="C58" s="35">
        <v>25000.0</v>
      </c>
      <c r="D58" s="7">
        <f t="shared" si="2"/>
        <v>15000</v>
      </c>
      <c r="E58" s="7">
        <f t="shared" ref="E58:F58" si="60">if($D58&lt;15000,$D58*12/100,15000*12/100)</f>
        <v>1800</v>
      </c>
      <c r="F58" s="7">
        <f t="shared" si="60"/>
        <v>1800</v>
      </c>
      <c r="G58" s="7">
        <f t="shared" si="4"/>
        <v>3600</v>
      </c>
    </row>
    <row r="59">
      <c r="A59" s="8">
        <f t="shared" si="5"/>
        <v>58</v>
      </c>
      <c r="B59" s="36" t="s">
        <v>249</v>
      </c>
      <c r="C59" s="35">
        <v>17000.0</v>
      </c>
      <c r="D59" s="7">
        <f t="shared" si="2"/>
        <v>10200</v>
      </c>
      <c r="E59" s="7">
        <f t="shared" ref="E59:F59" si="61">if($D59&lt;15000,$D59*12/100,15000*12/100)</f>
        <v>1224</v>
      </c>
      <c r="F59" s="7">
        <f t="shared" si="61"/>
        <v>1224</v>
      </c>
      <c r="G59" s="7">
        <f t="shared" si="4"/>
        <v>2448</v>
      </c>
    </row>
    <row r="60">
      <c r="A60" s="8">
        <f t="shared" si="5"/>
        <v>59</v>
      </c>
      <c r="B60" s="36" t="s">
        <v>250</v>
      </c>
      <c r="C60" s="35">
        <v>18710.0</v>
      </c>
      <c r="D60" s="7">
        <f t="shared" si="2"/>
        <v>11226</v>
      </c>
      <c r="E60" s="7">
        <f t="shared" ref="E60:F60" si="62">if($D60&lt;15000,$D60*12/100,15000*12/100)</f>
        <v>1347.12</v>
      </c>
      <c r="F60" s="7">
        <f t="shared" si="62"/>
        <v>1347.12</v>
      </c>
      <c r="G60" s="7">
        <f t="shared" si="4"/>
        <v>2694.24</v>
      </c>
    </row>
    <row r="61">
      <c r="A61" s="8">
        <f t="shared" si="5"/>
        <v>60</v>
      </c>
      <c r="B61" s="36" t="s">
        <v>251</v>
      </c>
      <c r="C61" s="35">
        <v>22000.0</v>
      </c>
      <c r="D61" s="7">
        <f t="shared" si="2"/>
        <v>13200</v>
      </c>
      <c r="E61" s="7">
        <f t="shared" ref="E61:F61" si="63">if($D61&lt;15000,$D61*12/100,15000*12/100)</f>
        <v>1584</v>
      </c>
      <c r="F61" s="7">
        <f t="shared" si="63"/>
        <v>1584</v>
      </c>
      <c r="G61" s="7">
        <f t="shared" si="4"/>
        <v>3168</v>
      </c>
    </row>
    <row r="62">
      <c r="A62" s="8">
        <f t="shared" si="5"/>
        <v>61</v>
      </c>
      <c r="B62" s="36" t="s">
        <v>252</v>
      </c>
      <c r="C62" s="35">
        <v>23000.0</v>
      </c>
      <c r="D62" s="7">
        <f t="shared" si="2"/>
        <v>13800</v>
      </c>
      <c r="E62" s="7">
        <f t="shared" ref="E62:F62" si="64">if($D62&lt;15000,$D62*12/100,15000*12/100)</f>
        <v>1656</v>
      </c>
      <c r="F62" s="7">
        <f t="shared" si="64"/>
        <v>1656</v>
      </c>
      <c r="G62" s="7">
        <f t="shared" si="4"/>
        <v>3312</v>
      </c>
    </row>
    <row r="63">
      <c r="A63" s="8">
        <f t="shared" si="5"/>
        <v>62</v>
      </c>
      <c r="B63" s="36" t="s">
        <v>264</v>
      </c>
      <c r="C63" s="35">
        <v>14839.0</v>
      </c>
      <c r="D63" s="7">
        <f t="shared" si="2"/>
        <v>8903.4</v>
      </c>
      <c r="E63" s="7">
        <f t="shared" ref="E63:F63" si="65">if($D63&lt;15000,$D63*12/100,15000*12/100)</f>
        <v>1068.408</v>
      </c>
      <c r="F63" s="7">
        <f t="shared" si="65"/>
        <v>1068.408</v>
      </c>
      <c r="G63" s="7">
        <f t="shared" si="4"/>
        <v>2136.816</v>
      </c>
    </row>
    <row r="64">
      <c r="A64" s="8">
        <f t="shared" si="5"/>
        <v>63</v>
      </c>
      <c r="B64" s="36" t="s">
        <v>253</v>
      </c>
      <c r="C64" s="35">
        <v>13000.0</v>
      </c>
      <c r="D64" s="7">
        <f t="shared" si="2"/>
        <v>7800</v>
      </c>
      <c r="E64" s="7">
        <f t="shared" ref="E64:F64" si="66">if($D64&lt;15000,$D64*12/100,15000*12/100)</f>
        <v>936</v>
      </c>
      <c r="F64" s="7">
        <f t="shared" si="66"/>
        <v>936</v>
      </c>
      <c r="G64" s="7">
        <f t="shared" si="4"/>
        <v>1872</v>
      </c>
    </row>
    <row r="65">
      <c r="A65" s="8">
        <f t="shared" si="5"/>
        <v>64</v>
      </c>
      <c r="B65" s="36" t="s">
        <v>265</v>
      </c>
      <c r="C65" s="35">
        <v>21000.0</v>
      </c>
      <c r="D65" s="7">
        <f t="shared" si="2"/>
        <v>12600</v>
      </c>
      <c r="E65" s="7">
        <f t="shared" ref="E65:F65" si="67">if($D65&lt;15000,$D65*12/100,15000*12/100)</f>
        <v>1512</v>
      </c>
      <c r="F65" s="7">
        <f t="shared" si="67"/>
        <v>1512</v>
      </c>
      <c r="G65" s="7">
        <f t="shared" si="4"/>
        <v>3024</v>
      </c>
    </row>
    <row r="66">
      <c r="A66" s="8">
        <f t="shared" si="5"/>
        <v>65</v>
      </c>
      <c r="B66" s="36" t="s">
        <v>266</v>
      </c>
      <c r="C66" s="35">
        <v>29000.0</v>
      </c>
      <c r="D66" s="7">
        <f t="shared" si="2"/>
        <v>17400</v>
      </c>
      <c r="E66" s="7">
        <f t="shared" ref="E66:F66" si="68">if($D66&lt;15000,$D66*12/100,15000*12/100)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36" t="s">
        <v>267</v>
      </c>
      <c r="C67" s="35">
        <v>10000.0</v>
      </c>
      <c r="D67" s="7">
        <f t="shared" si="2"/>
        <v>6000</v>
      </c>
      <c r="E67" s="7">
        <f t="shared" ref="E67:F67" si="69">if($D67&lt;15000,$D67*12/100,15000*12/100)</f>
        <v>720</v>
      </c>
      <c r="F67" s="7">
        <f t="shared" si="69"/>
        <v>720</v>
      </c>
      <c r="G67" s="7">
        <f t="shared" si="4"/>
        <v>1440</v>
      </c>
    </row>
    <row r="68">
      <c r="A68" s="8">
        <f t="shared" si="5"/>
        <v>67</v>
      </c>
      <c r="B68" s="36" t="s">
        <v>268</v>
      </c>
      <c r="C68" s="35">
        <v>6323.0</v>
      </c>
      <c r="D68" s="7">
        <f t="shared" si="2"/>
        <v>3793.8</v>
      </c>
      <c r="E68" s="7">
        <f t="shared" ref="E68:F68" si="70">if($D68&lt;15000,$D68*12/100,15000*12/100)</f>
        <v>455.256</v>
      </c>
      <c r="F68" s="7">
        <f t="shared" si="70"/>
        <v>455.256</v>
      </c>
      <c r="G68" s="7">
        <f t="shared" si="4"/>
        <v>910.512</v>
      </c>
    </row>
    <row r="69">
      <c r="A69" s="8">
        <f t="shared" si="5"/>
        <v>68</v>
      </c>
      <c r="B69" s="36" t="s">
        <v>269</v>
      </c>
      <c r="C69" s="35">
        <v>8000.0</v>
      </c>
      <c r="D69" s="7">
        <f t="shared" si="2"/>
        <v>4800</v>
      </c>
      <c r="E69" s="7">
        <f t="shared" ref="E69:F69" si="71">if($D69&lt;15000,$D69*12/100,15000*12/100)</f>
        <v>576</v>
      </c>
      <c r="F69" s="7">
        <f t="shared" si="71"/>
        <v>576</v>
      </c>
      <c r="G69" s="7">
        <f t="shared" si="4"/>
        <v>1152</v>
      </c>
    </row>
    <row r="70">
      <c r="A70" s="8">
        <f t="shared" si="5"/>
        <v>69</v>
      </c>
      <c r="B70" s="36" t="s">
        <v>270</v>
      </c>
      <c r="C70" s="35">
        <v>8000.0</v>
      </c>
      <c r="D70" s="7">
        <f t="shared" si="2"/>
        <v>4800</v>
      </c>
      <c r="E70" s="7">
        <f t="shared" ref="E70:F70" si="72">if($D70&lt;15000,$D70*12/100,15000*12/100)</f>
        <v>576</v>
      </c>
      <c r="F70" s="7">
        <f t="shared" si="72"/>
        <v>576</v>
      </c>
      <c r="G70" s="7">
        <f t="shared" si="4"/>
        <v>1152</v>
      </c>
    </row>
    <row r="71">
      <c r="A71" s="8">
        <f t="shared" si="5"/>
        <v>70</v>
      </c>
      <c r="B71" s="36" t="s">
        <v>271</v>
      </c>
      <c r="C71" s="35">
        <v>20000.0</v>
      </c>
      <c r="D71" s="7">
        <f t="shared" si="2"/>
        <v>12000</v>
      </c>
      <c r="E71" s="7">
        <f t="shared" ref="E71:F71" si="73">if($D71&lt;15000,$D71*12/100,15000*12/100)</f>
        <v>1440</v>
      </c>
      <c r="F71" s="7">
        <f t="shared" si="73"/>
        <v>1440</v>
      </c>
      <c r="G71" s="7">
        <f t="shared" si="4"/>
        <v>2880</v>
      </c>
    </row>
    <row r="72">
      <c r="A72" s="8">
        <f t="shared" si="5"/>
        <v>71</v>
      </c>
      <c r="B72" s="30" t="s">
        <v>272</v>
      </c>
      <c r="C72" s="35">
        <v>18387.0</v>
      </c>
      <c r="D72" s="7">
        <f t="shared" si="2"/>
        <v>11032.2</v>
      </c>
      <c r="E72" s="7">
        <f t="shared" ref="E72:F72" si="74">if($D72&lt;15000,$D72*12/100,15000*12/100)</f>
        <v>1323.864</v>
      </c>
      <c r="F72" s="7">
        <f t="shared" si="74"/>
        <v>1323.864</v>
      </c>
      <c r="G72" s="7">
        <f t="shared" si="4"/>
        <v>2647.728</v>
      </c>
    </row>
    <row r="73">
      <c r="A73" s="8">
        <f t="shared" si="5"/>
        <v>72</v>
      </c>
      <c r="B73" s="30" t="s">
        <v>273</v>
      </c>
      <c r="C73" s="35">
        <v>7742.0</v>
      </c>
      <c r="D73" s="7">
        <f t="shared" si="2"/>
        <v>4645.2</v>
      </c>
      <c r="E73" s="7">
        <f t="shared" ref="E73:F73" si="75">if($D73&lt;15000,$D73*12/100,15000*12/100)</f>
        <v>557.424</v>
      </c>
      <c r="F73" s="7">
        <f t="shared" si="75"/>
        <v>557.424</v>
      </c>
      <c r="G73" s="7">
        <f t="shared" si="4"/>
        <v>1114.848</v>
      </c>
    </row>
    <row r="74">
      <c r="A74" s="8">
        <f t="shared" si="5"/>
        <v>73</v>
      </c>
      <c r="B74" s="30" t="s">
        <v>274</v>
      </c>
      <c r="C74" s="35">
        <v>4516.0</v>
      </c>
      <c r="D74" s="7">
        <f t="shared" si="2"/>
        <v>2709.6</v>
      </c>
      <c r="E74" s="7">
        <f t="shared" ref="E74:F74" si="76">if($D74&lt;15000,$D74*12/100,15000*12/100)</f>
        <v>325.152</v>
      </c>
      <c r="F74" s="7">
        <f t="shared" si="76"/>
        <v>325.152</v>
      </c>
      <c r="G74" s="7">
        <f t="shared" si="4"/>
        <v>650.304</v>
      </c>
    </row>
    <row r="75">
      <c r="A75" s="8">
        <f t="shared" si="5"/>
        <v>74</v>
      </c>
      <c r="B75" s="36" t="s">
        <v>255</v>
      </c>
      <c r="C75" s="35">
        <v>23000.0</v>
      </c>
      <c r="D75" s="7">
        <f t="shared" si="2"/>
        <v>13800</v>
      </c>
      <c r="E75" s="7">
        <f t="shared" ref="E75:F75" si="77">if($D75&lt;15000,$D75*12/100,15000*12/100)</f>
        <v>1656</v>
      </c>
      <c r="F75" s="7">
        <f t="shared" si="77"/>
        <v>1656</v>
      </c>
      <c r="G75" s="7">
        <f t="shared" si="4"/>
        <v>3312</v>
      </c>
    </row>
    <row r="76">
      <c r="A76" s="8">
        <f t="shared" si="5"/>
        <v>75</v>
      </c>
      <c r="B76" s="36" t="s">
        <v>32</v>
      </c>
      <c r="C76" s="35">
        <v>26000.0</v>
      </c>
      <c r="D76" s="7">
        <f t="shared" si="2"/>
        <v>15600</v>
      </c>
      <c r="E76" s="7">
        <f t="shared" ref="E76:F76" si="78">if($D76&lt;15000,$D76*12/100,15000*12/100)</f>
        <v>1800</v>
      </c>
      <c r="F76" s="7">
        <f t="shared" si="78"/>
        <v>1800</v>
      </c>
      <c r="G76" s="7">
        <f t="shared" si="4"/>
        <v>3600</v>
      </c>
    </row>
    <row r="77">
      <c r="A77" s="8">
        <f t="shared" si="5"/>
        <v>76</v>
      </c>
      <c r="B77" s="36" t="s">
        <v>30</v>
      </c>
      <c r="C77" s="35">
        <v>19677.0</v>
      </c>
      <c r="D77" s="7">
        <f t="shared" si="2"/>
        <v>11806.2</v>
      </c>
      <c r="E77" s="7">
        <f t="shared" ref="E77:F77" si="79">if($D77&lt;15000,$D77*12/100,15000*12/100)</f>
        <v>1416.744</v>
      </c>
      <c r="F77" s="7">
        <f t="shared" si="79"/>
        <v>1416.744</v>
      </c>
      <c r="G77" s="7">
        <f t="shared" si="4"/>
        <v>2833.488</v>
      </c>
    </row>
    <row r="78">
      <c r="A78" s="8">
        <f t="shared" si="5"/>
        <v>77</v>
      </c>
      <c r="B78" s="36" t="s">
        <v>256</v>
      </c>
      <c r="C78" s="35">
        <v>23000.0</v>
      </c>
      <c r="D78" s="7">
        <f t="shared" si="2"/>
        <v>13800</v>
      </c>
      <c r="E78" s="7">
        <f t="shared" ref="E78:F78" si="80">if($D78&lt;15000,$D78*12/100,15000*12/100)</f>
        <v>1656</v>
      </c>
      <c r="F78" s="7">
        <f t="shared" si="80"/>
        <v>1656</v>
      </c>
      <c r="G78" s="7">
        <f t="shared" si="4"/>
        <v>3312</v>
      </c>
    </row>
    <row r="79">
      <c r="A79" s="8">
        <f t="shared" si="5"/>
        <v>78</v>
      </c>
      <c r="B79" s="36" t="s">
        <v>257</v>
      </c>
      <c r="C79" s="35">
        <v>21806.0</v>
      </c>
      <c r="D79" s="7">
        <f t="shared" si="2"/>
        <v>13083.6</v>
      </c>
      <c r="E79" s="7">
        <f t="shared" ref="E79:F79" si="81">if($D79&lt;15000,$D79*12/100,15000*12/100)</f>
        <v>1570.032</v>
      </c>
      <c r="F79" s="7">
        <f t="shared" si="81"/>
        <v>1570.032</v>
      </c>
      <c r="G79" s="7">
        <f t="shared" si="4"/>
        <v>3140.064</v>
      </c>
    </row>
    <row r="80">
      <c r="A80" s="8">
        <f t="shared" si="5"/>
        <v>79</v>
      </c>
      <c r="B80" s="36" t="s">
        <v>258</v>
      </c>
      <c r="C80" s="35">
        <v>16000.0</v>
      </c>
      <c r="D80" s="7">
        <f t="shared" si="2"/>
        <v>9600</v>
      </c>
      <c r="E80" s="7">
        <f t="shared" ref="E80:F80" si="82">if($D80&lt;15000,$D80*12/100,15000*12/100)</f>
        <v>1152</v>
      </c>
      <c r="F80" s="7">
        <f t="shared" si="82"/>
        <v>1152</v>
      </c>
      <c r="G80" s="7">
        <f t="shared" si="4"/>
        <v>2304</v>
      </c>
    </row>
    <row r="81">
      <c r="A81" s="8">
        <f t="shared" si="5"/>
        <v>80</v>
      </c>
      <c r="B81" s="36" t="s">
        <v>259</v>
      </c>
      <c r="C81" s="35">
        <v>20226.0</v>
      </c>
      <c r="D81" s="7">
        <f t="shared" si="2"/>
        <v>12135.6</v>
      </c>
      <c r="E81" s="7">
        <f t="shared" ref="E81:F81" si="83">if($D81&lt;15000,$D81*12/100,15000*12/100)</f>
        <v>1456.272</v>
      </c>
      <c r="F81" s="7">
        <f t="shared" si="83"/>
        <v>1456.272</v>
      </c>
      <c r="G81" s="7">
        <f t="shared" si="4"/>
        <v>2912.544</v>
      </c>
    </row>
    <row r="82">
      <c r="A82" s="8">
        <f t="shared" si="5"/>
        <v>81</v>
      </c>
      <c r="B82" s="36" t="s">
        <v>260</v>
      </c>
      <c r="C82" s="35">
        <v>15000.0</v>
      </c>
      <c r="D82" s="7">
        <f t="shared" si="2"/>
        <v>9000</v>
      </c>
      <c r="E82" s="7">
        <f t="shared" ref="E82:F82" si="84">if($D82&lt;15000,$D82*12/100,15000*12/100)</f>
        <v>1080</v>
      </c>
      <c r="F82" s="7">
        <f t="shared" si="84"/>
        <v>1080</v>
      </c>
      <c r="G82" s="7">
        <f t="shared" si="4"/>
        <v>2160</v>
      </c>
    </row>
    <row r="83">
      <c r="A83" s="8">
        <f t="shared" si="5"/>
        <v>82</v>
      </c>
      <c r="B83" s="36" t="s">
        <v>261</v>
      </c>
      <c r="C83" s="35">
        <v>15000.0</v>
      </c>
      <c r="D83" s="7">
        <f t="shared" si="2"/>
        <v>9000</v>
      </c>
      <c r="E83" s="7">
        <f t="shared" ref="E83:F83" si="85">if($D83&lt;15000,$D83*12/100,15000*12/100)</f>
        <v>1080</v>
      </c>
      <c r="F83" s="7">
        <f t="shared" si="85"/>
        <v>1080</v>
      </c>
      <c r="G83" s="7">
        <f t="shared" si="4"/>
        <v>2160</v>
      </c>
    </row>
    <row r="84">
      <c r="A84" s="8">
        <f t="shared" si="5"/>
        <v>83</v>
      </c>
      <c r="B84" s="36" t="s">
        <v>262</v>
      </c>
      <c r="C84" s="35">
        <v>12581.0</v>
      </c>
      <c r="D84" s="7">
        <f t="shared" si="2"/>
        <v>7548.6</v>
      </c>
      <c r="E84" s="7">
        <f t="shared" ref="E84:F84" si="86">if($D84&lt;15000,$D84*12/100,15000*12/100)</f>
        <v>905.832</v>
      </c>
      <c r="F84" s="7">
        <f t="shared" si="86"/>
        <v>905.832</v>
      </c>
      <c r="G84" s="7">
        <f t="shared" si="4"/>
        <v>1811.664</v>
      </c>
    </row>
    <row r="85">
      <c r="A85" s="8">
        <f t="shared" si="5"/>
        <v>84</v>
      </c>
      <c r="B85" s="36" t="s">
        <v>263</v>
      </c>
      <c r="C85" s="3">
        <v>13548.0</v>
      </c>
      <c r="D85" s="7">
        <f t="shared" si="2"/>
        <v>8128.8</v>
      </c>
      <c r="E85" s="7">
        <f t="shared" ref="E85:F85" si="87">if($D85&lt;15000,$D85*12/100,15000*12/100)</f>
        <v>975.456</v>
      </c>
      <c r="F85" s="7">
        <f t="shared" si="87"/>
        <v>975.456</v>
      </c>
      <c r="G85" s="7">
        <f t="shared" si="4"/>
        <v>1950.912</v>
      </c>
    </row>
    <row r="86">
      <c r="A86" s="9" t="s">
        <v>34</v>
      </c>
      <c r="B86" s="10"/>
      <c r="C86" s="11">
        <f t="shared" ref="C86:G86" si="88">sum(C2:C85)</f>
        <v>2076500</v>
      </c>
      <c r="D86" s="11">
        <f t="shared" si="88"/>
        <v>1245900</v>
      </c>
      <c r="E86" s="11">
        <f t="shared" si="88"/>
        <v>119819.664</v>
      </c>
      <c r="F86" s="11">
        <f t="shared" si="88"/>
        <v>119819.664</v>
      </c>
      <c r="G86" s="11">
        <f t="shared" si="88"/>
        <v>239639.328</v>
      </c>
    </row>
  </sheetData>
  <mergeCells count="1">
    <mergeCell ref="A86:B86"/>
  </mergeCells>
  <hyperlinks>
    <hyperlink r:id="rId1" ref="A1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37" t="s">
        <v>193</v>
      </c>
      <c r="C2" s="38">
        <v>80000.0</v>
      </c>
      <c r="D2" s="7">
        <f t="shared" ref="D2:D85" si="2">C2*60/100</f>
        <v>48000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5" si="4">E2+F2</f>
        <v>3600</v>
      </c>
    </row>
    <row r="3">
      <c r="A3" s="8">
        <f t="shared" ref="A3:A85" si="5">A2+1</f>
        <v>2</v>
      </c>
      <c r="B3" s="26" t="s">
        <v>194</v>
      </c>
      <c r="C3" s="39">
        <v>55250.0</v>
      </c>
      <c r="D3" s="7">
        <f t="shared" si="2"/>
        <v>33150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195</v>
      </c>
      <c r="C4" s="39">
        <v>55067.0</v>
      </c>
      <c r="D4" s="7">
        <f t="shared" si="2"/>
        <v>33040.2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196</v>
      </c>
      <c r="C5" s="39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6" t="s">
        <v>197</v>
      </c>
      <c r="C6" s="39">
        <v>75000.0</v>
      </c>
      <c r="D6" s="7">
        <f t="shared" si="2"/>
        <v>45000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26" t="s">
        <v>198</v>
      </c>
      <c r="C7" s="39">
        <v>77000.0</v>
      </c>
      <c r="D7" s="7">
        <f t="shared" si="2"/>
        <v>46200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26" t="s">
        <v>199</v>
      </c>
      <c r="C8" s="39">
        <v>64800.0</v>
      </c>
      <c r="D8" s="7">
        <f t="shared" si="2"/>
        <v>38880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6" t="s">
        <v>200</v>
      </c>
      <c r="C9" s="39">
        <v>35000.0</v>
      </c>
      <c r="D9" s="7">
        <f t="shared" si="2"/>
        <v>21000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26" t="s">
        <v>201</v>
      </c>
      <c r="C10" s="39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202</v>
      </c>
      <c r="C11" s="39">
        <v>27000.0</v>
      </c>
      <c r="D11" s="7">
        <f t="shared" si="2"/>
        <v>16200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26" t="s">
        <v>203</v>
      </c>
      <c r="C12" s="39">
        <v>38000.0</v>
      </c>
      <c r="D12" s="7">
        <f t="shared" si="2"/>
        <v>22800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204</v>
      </c>
      <c r="C13" s="39">
        <v>34000.0</v>
      </c>
      <c r="D13" s="7">
        <f t="shared" si="2"/>
        <v>20400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205</v>
      </c>
      <c r="C14" s="39">
        <v>35150.0</v>
      </c>
      <c r="D14" s="7">
        <f t="shared" si="2"/>
        <v>21090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206</v>
      </c>
      <c r="C15" s="39">
        <v>26550.0</v>
      </c>
      <c r="D15" s="7">
        <f t="shared" si="2"/>
        <v>15930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26" t="s">
        <v>207</v>
      </c>
      <c r="C16" s="39">
        <v>39000.0</v>
      </c>
      <c r="D16" s="7">
        <f t="shared" si="2"/>
        <v>23400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208</v>
      </c>
      <c r="C17" s="39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209</v>
      </c>
      <c r="C18" s="39">
        <v>28000.0</v>
      </c>
      <c r="D18" s="7">
        <f t="shared" si="2"/>
        <v>16800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210</v>
      </c>
      <c r="C19" s="39">
        <v>29967.0</v>
      </c>
      <c r="D19" s="7">
        <f t="shared" si="2"/>
        <v>17980.2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211</v>
      </c>
      <c r="C20" s="39">
        <v>32000.0</v>
      </c>
      <c r="D20" s="7">
        <f t="shared" si="2"/>
        <v>19200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212</v>
      </c>
      <c r="C21" s="39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26" t="s">
        <v>213</v>
      </c>
      <c r="C22" s="39">
        <v>24000.0</v>
      </c>
      <c r="D22" s="7">
        <f t="shared" si="2"/>
        <v>14400</v>
      </c>
      <c r="E22" s="7">
        <f t="shared" ref="E22:F22" si="24">if($D22&lt;15000,$D22*12/100,15000*12/100)</f>
        <v>1728</v>
      </c>
      <c r="F22" s="7">
        <f t="shared" si="24"/>
        <v>1728</v>
      </c>
      <c r="G22" s="7">
        <f t="shared" si="4"/>
        <v>3456</v>
      </c>
    </row>
    <row r="23">
      <c r="A23" s="8">
        <f t="shared" si="5"/>
        <v>22</v>
      </c>
      <c r="B23" s="26" t="s">
        <v>214</v>
      </c>
      <c r="C23" s="39">
        <v>24000.0</v>
      </c>
      <c r="D23" s="7">
        <f t="shared" si="2"/>
        <v>14400</v>
      </c>
      <c r="E23" s="7">
        <f t="shared" ref="E23:F23" si="25">if($D23&lt;15000,$D23*12/100,15000*12/100)</f>
        <v>1728</v>
      </c>
      <c r="F23" s="7">
        <f t="shared" si="25"/>
        <v>1728</v>
      </c>
      <c r="G23" s="7">
        <f t="shared" si="4"/>
        <v>3456</v>
      </c>
    </row>
    <row r="24">
      <c r="A24" s="8">
        <f t="shared" si="5"/>
        <v>23</v>
      </c>
      <c r="B24" s="26" t="s">
        <v>252</v>
      </c>
      <c r="C24" s="39">
        <v>22233.0</v>
      </c>
      <c r="D24" s="7">
        <f t="shared" si="2"/>
        <v>13339.8</v>
      </c>
      <c r="E24" s="7">
        <f t="shared" ref="E24:F24" si="26">if($D24&lt;15000,$D24*12/100,15000*12/100)</f>
        <v>1600.776</v>
      </c>
      <c r="F24" s="7">
        <f t="shared" si="26"/>
        <v>1600.776</v>
      </c>
      <c r="G24" s="7">
        <f t="shared" si="4"/>
        <v>3201.552</v>
      </c>
    </row>
    <row r="25">
      <c r="A25" s="8">
        <f t="shared" si="5"/>
        <v>24</v>
      </c>
      <c r="B25" s="26" t="s">
        <v>216</v>
      </c>
      <c r="C25" s="39">
        <v>25000.0</v>
      </c>
      <c r="D25" s="7">
        <f t="shared" si="2"/>
        <v>15000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26" t="s">
        <v>265</v>
      </c>
      <c r="C26" s="39">
        <v>20300.0</v>
      </c>
      <c r="D26" s="7">
        <f t="shared" si="2"/>
        <v>12180</v>
      </c>
      <c r="E26" s="7">
        <f t="shared" ref="E26:F26" si="28">if($D26&lt;15000,$D26*12/100,15000*12/100)</f>
        <v>1461.6</v>
      </c>
      <c r="F26" s="7">
        <f t="shared" si="28"/>
        <v>1461.6</v>
      </c>
      <c r="G26" s="7">
        <f t="shared" si="4"/>
        <v>2923.2</v>
      </c>
    </row>
    <row r="27">
      <c r="A27" s="8">
        <f t="shared" si="5"/>
        <v>26</v>
      </c>
      <c r="B27" s="26" t="s">
        <v>217</v>
      </c>
      <c r="C27" s="39">
        <v>22000.0</v>
      </c>
      <c r="D27" s="7">
        <f t="shared" si="2"/>
        <v>13200</v>
      </c>
      <c r="E27" s="7">
        <f t="shared" ref="E27:F27" si="29">if($D27&lt;15000,$D27*12/100,15000*12/100)</f>
        <v>1584</v>
      </c>
      <c r="F27" s="7">
        <f t="shared" si="29"/>
        <v>1584</v>
      </c>
      <c r="G27" s="7">
        <f t="shared" si="4"/>
        <v>3168</v>
      </c>
    </row>
    <row r="28">
      <c r="A28" s="8">
        <f t="shared" si="5"/>
        <v>27</v>
      </c>
      <c r="B28" s="26" t="s">
        <v>218</v>
      </c>
      <c r="C28" s="39">
        <v>24000.0</v>
      </c>
      <c r="D28" s="7">
        <f t="shared" si="2"/>
        <v>14400</v>
      </c>
      <c r="E28" s="7">
        <f t="shared" ref="E28:F28" si="30">if($D28&lt;15000,$D28*12/100,15000*12/100)</f>
        <v>1728</v>
      </c>
      <c r="F28" s="7">
        <f t="shared" si="30"/>
        <v>1728</v>
      </c>
      <c r="G28" s="7">
        <f t="shared" si="4"/>
        <v>3456</v>
      </c>
    </row>
    <row r="29">
      <c r="A29" s="8">
        <f t="shared" si="5"/>
        <v>28</v>
      </c>
      <c r="B29" s="26" t="s">
        <v>219</v>
      </c>
      <c r="C29" s="39">
        <v>18050.0</v>
      </c>
      <c r="D29" s="7">
        <f t="shared" si="2"/>
        <v>10830</v>
      </c>
      <c r="E29" s="7">
        <f t="shared" ref="E29:F29" si="31">if($D29&lt;15000,$D29*12/100,15000*12/100)</f>
        <v>1299.6</v>
      </c>
      <c r="F29" s="7">
        <f t="shared" si="31"/>
        <v>1299.6</v>
      </c>
      <c r="G29" s="7">
        <f t="shared" si="4"/>
        <v>2599.2</v>
      </c>
    </row>
    <row r="30">
      <c r="A30" s="8">
        <f t="shared" si="5"/>
        <v>29</v>
      </c>
      <c r="B30" s="26" t="s">
        <v>220</v>
      </c>
      <c r="C30" s="39">
        <v>24300.0</v>
      </c>
      <c r="D30" s="7">
        <f t="shared" si="2"/>
        <v>14580</v>
      </c>
      <c r="E30" s="7">
        <f t="shared" ref="E30:F30" si="32">if($D30&lt;15000,$D30*12/100,15000*12/100)</f>
        <v>1749.6</v>
      </c>
      <c r="F30" s="7">
        <f t="shared" si="32"/>
        <v>1749.6</v>
      </c>
      <c r="G30" s="7">
        <f t="shared" si="4"/>
        <v>3499.2</v>
      </c>
    </row>
    <row r="31">
      <c r="A31" s="8">
        <f t="shared" si="5"/>
        <v>30</v>
      </c>
      <c r="B31" s="26" t="s">
        <v>221</v>
      </c>
      <c r="C31" s="39">
        <v>24000.0</v>
      </c>
      <c r="D31" s="7">
        <f t="shared" si="2"/>
        <v>14400</v>
      </c>
      <c r="E31" s="7">
        <f t="shared" ref="E31:F31" si="33">if($D31&lt;15000,$D31*12/100,15000*12/100)</f>
        <v>1728</v>
      </c>
      <c r="F31" s="7">
        <f t="shared" si="33"/>
        <v>1728</v>
      </c>
      <c r="G31" s="7">
        <f t="shared" si="4"/>
        <v>3456</v>
      </c>
    </row>
    <row r="32">
      <c r="A32" s="8">
        <f t="shared" si="5"/>
        <v>31</v>
      </c>
      <c r="B32" s="26" t="s">
        <v>222</v>
      </c>
      <c r="C32" s="39">
        <v>25000.0</v>
      </c>
      <c r="D32" s="7">
        <f t="shared" si="2"/>
        <v>15000</v>
      </c>
      <c r="E32" s="7">
        <f t="shared" ref="E32:F32" si="34">if($D32&lt;15000,$D32*12/100,15000*12/100)</f>
        <v>1800</v>
      </c>
      <c r="F32" s="7">
        <f t="shared" si="34"/>
        <v>1800</v>
      </c>
      <c r="G32" s="7">
        <f t="shared" si="4"/>
        <v>3600</v>
      </c>
    </row>
    <row r="33">
      <c r="A33" s="8">
        <f t="shared" si="5"/>
        <v>32</v>
      </c>
      <c r="B33" s="26" t="s">
        <v>223</v>
      </c>
      <c r="C33" s="39">
        <v>23000.0</v>
      </c>
      <c r="D33" s="7">
        <f t="shared" si="2"/>
        <v>13800</v>
      </c>
      <c r="E33" s="7">
        <f t="shared" ref="E33:F33" si="35">if($D33&lt;15000,$D33*12/100,15000*12/100)</f>
        <v>1656</v>
      </c>
      <c r="F33" s="7">
        <f t="shared" si="35"/>
        <v>1656</v>
      </c>
      <c r="G33" s="7">
        <f t="shared" si="4"/>
        <v>3312</v>
      </c>
    </row>
    <row r="34">
      <c r="A34" s="8">
        <f t="shared" si="5"/>
        <v>33</v>
      </c>
      <c r="B34" s="26" t="s">
        <v>86</v>
      </c>
      <c r="C34" s="39">
        <v>18800.0</v>
      </c>
      <c r="D34" s="7">
        <f t="shared" si="2"/>
        <v>11280</v>
      </c>
      <c r="E34" s="7">
        <f t="shared" ref="E34:F34" si="36">if($D34&lt;15000,$D34*12/100,15000*12/100)</f>
        <v>1353.6</v>
      </c>
      <c r="F34" s="7">
        <f t="shared" si="36"/>
        <v>1353.6</v>
      </c>
      <c r="G34" s="7">
        <f t="shared" si="4"/>
        <v>2707.2</v>
      </c>
    </row>
    <row r="35">
      <c r="A35" s="8">
        <f t="shared" si="5"/>
        <v>34</v>
      </c>
      <c r="B35" s="26" t="s">
        <v>224</v>
      </c>
      <c r="C35" s="39">
        <v>25000.0</v>
      </c>
      <c r="D35" s="7">
        <f t="shared" si="2"/>
        <v>15000</v>
      </c>
      <c r="E35" s="7">
        <f t="shared" ref="E35:F35" si="37">if($D35&lt;15000,$D35*12/100,15000*12/100)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26" t="s">
        <v>226</v>
      </c>
      <c r="C36" s="39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</row>
    <row r="37">
      <c r="A37" s="8">
        <f t="shared" si="5"/>
        <v>36</v>
      </c>
      <c r="B37" s="26" t="s">
        <v>253</v>
      </c>
      <c r="C37" s="39">
        <v>13000.0</v>
      </c>
      <c r="D37" s="7">
        <f t="shared" si="2"/>
        <v>7800</v>
      </c>
      <c r="E37" s="7">
        <f t="shared" ref="E37:F37" si="39">if($D37&lt;15000,$D37*12/100,15000*12/100)</f>
        <v>936</v>
      </c>
      <c r="F37" s="7">
        <f t="shared" si="39"/>
        <v>936</v>
      </c>
      <c r="G37" s="7">
        <f t="shared" si="4"/>
        <v>1872</v>
      </c>
    </row>
    <row r="38">
      <c r="A38" s="8">
        <f t="shared" si="5"/>
        <v>37</v>
      </c>
      <c r="B38" s="30" t="s">
        <v>244</v>
      </c>
      <c r="C38" s="39">
        <v>14500.0</v>
      </c>
      <c r="D38" s="7">
        <f t="shared" si="2"/>
        <v>8700</v>
      </c>
      <c r="E38" s="7">
        <f t="shared" ref="E38:F38" si="40">if($D38&lt;15000,$D38*12/100,15000*12/100)</f>
        <v>1044</v>
      </c>
      <c r="F38" s="7">
        <f t="shared" si="40"/>
        <v>1044</v>
      </c>
      <c r="G38" s="7">
        <f t="shared" si="4"/>
        <v>2088</v>
      </c>
    </row>
    <row r="39">
      <c r="A39" s="8">
        <f t="shared" si="5"/>
        <v>38</v>
      </c>
      <c r="B39" s="30" t="s">
        <v>245</v>
      </c>
      <c r="C39" s="39">
        <v>14500.0</v>
      </c>
      <c r="D39" s="7">
        <f t="shared" si="2"/>
        <v>8700</v>
      </c>
      <c r="E39" s="7">
        <f t="shared" ref="E39:F39" si="41">if($D39&lt;15000,$D39*12/100,15000*12/100)</f>
        <v>1044</v>
      </c>
      <c r="F39" s="7">
        <f t="shared" si="41"/>
        <v>1044</v>
      </c>
      <c r="G39" s="7">
        <f t="shared" si="4"/>
        <v>2088</v>
      </c>
    </row>
    <row r="40">
      <c r="A40" s="8">
        <f t="shared" si="5"/>
        <v>39</v>
      </c>
      <c r="B40" s="30" t="s">
        <v>227</v>
      </c>
      <c r="C40" s="39">
        <v>16433.0</v>
      </c>
      <c r="D40" s="7">
        <f t="shared" si="2"/>
        <v>9859.8</v>
      </c>
      <c r="E40" s="7">
        <f t="shared" ref="E40:F40" si="42">if($D40&lt;15000,$D40*12/100,15000*12/100)</f>
        <v>1183.176</v>
      </c>
      <c r="F40" s="7">
        <f t="shared" si="42"/>
        <v>1183.176</v>
      </c>
      <c r="G40" s="7">
        <f t="shared" si="4"/>
        <v>2366.352</v>
      </c>
    </row>
    <row r="41">
      <c r="A41" s="8">
        <f t="shared" si="5"/>
        <v>40</v>
      </c>
      <c r="B41" s="30" t="s">
        <v>228</v>
      </c>
      <c r="C41" s="39">
        <v>15000.0</v>
      </c>
      <c r="D41" s="7">
        <f t="shared" si="2"/>
        <v>9000</v>
      </c>
      <c r="E41" s="7">
        <f t="shared" ref="E41:F41" si="43">if($D41&lt;15000,$D41*12/100,15000*12/100)</f>
        <v>1080</v>
      </c>
      <c r="F41" s="7">
        <f t="shared" si="43"/>
        <v>1080</v>
      </c>
      <c r="G41" s="7">
        <f t="shared" si="4"/>
        <v>2160</v>
      </c>
    </row>
    <row r="42">
      <c r="A42" s="8">
        <f t="shared" si="5"/>
        <v>41</v>
      </c>
      <c r="B42" s="30" t="s">
        <v>229</v>
      </c>
      <c r="C42" s="39">
        <v>22000.0</v>
      </c>
      <c r="D42" s="7">
        <f t="shared" si="2"/>
        <v>13200</v>
      </c>
      <c r="E42" s="7">
        <f t="shared" ref="E42:F42" si="44">if($D42&lt;15000,$D42*12/100,15000*12/100)</f>
        <v>1584</v>
      </c>
      <c r="F42" s="7">
        <f t="shared" si="44"/>
        <v>1584</v>
      </c>
      <c r="G42" s="7">
        <f t="shared" si="4"/>
        <v>3168</v>
      </c>
    </row>
    <row r="43">
      <c r="A43" s="8">
        <f t="shared" si="5"/>
        <v>42</v>
      </c>
      <c r="B43" s="30" t="s">
        <v>230</v>
      </c>
      <c r="C43" s="39">
        <v>18367.0</v>
      </c>
      <c r="D43" s="7">
        <f t="shared" si="2"/>
        <v>11020.2</v>
      </c>
      <c r="E43" s="7">
        <f t="shared" ref="E43:F43" si="45">if($D43&lt;15000,$D43*12/100,15000*12/100)</f>
        <v>1322.424</v>
      </c>
      <c r="F43" s="7">
        <f t="shared" si="45"/>
        <v>1322.424</v>
      </c>
      <c r="G43" s="7">
        <f t="shared" si="4"/>
        <v>2644.848</v>
      </c>
    </row>
    <row r="44">
      <c r="A44" s="8">
        <f t="shared" si="5"/>
        <v>43</v>
      </c>
      <c r="B44" s="30" t="s">
        <v>231</v>
      </c>
      <c r="C44" s="39">
        <v>25000.0</v>
      </c>
      <c r="D44" s="7">
        <f t="shared" si="2"/>
        <v>15000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30" t="s">
        <v>233</v>
      </c>
      <c r="C45" s="39">
        <v>18000.0</v>
      </c>
      <c r="D45" s="7">
        <f t="shared" si="2"/>
        <v>10800</v>
      </c>
      <c r="E45" s="7">
        <f t="shared" ref="E45:F45" si="47">if($D45&lt;15000,$D45*12/100,15000*12/100)</f>
        <v>1296</v>
      </c>
      <c r="F45" s="7">
        <f t="shared" si="47"/>
        <v>1296</v>
      </c>
      <c r="G45" s="7">
        <f t="shared" si="4"/>
        <v>2592</v>
      </c>
    </row>
    <row r="46">
      <c r="A46" s="8">
        <f t="shared" si="5"/>
        <v>45</v>
      </c>
      <c r="B46" s="30" t="s">
        <v>235</v>
      </c>
      <c r="C46" s="39">
        <v>22000.0</v>
      </c>
      <c r="D46" s="7">
        <f t="shared" si="2"/>
        <v>13200</v>
      </c>
      <c r="E46" s="7">
        <f t="shared" ref="E46:F46" si="48">if($D46&lt;15000,$D46*12/100,15000*12/100)</f>
        <v>1584</v>
      </c>
      <c r="F46" s="7">
        <f t="shared" si="48"/>
        <v>1584</v>
      </c>
      <c r="G46" s="7">
        <f t="shared" si="4"/>
        <v>3168</v>
      </c>
    </row>
    <row r="47">
      <c r="A47" s="8">
        <f t="shared" si="5"/>
        <v>46</v>
      </c>
      <c r="B47" s="30" t="s">
        <v>236</v>
      </c>
      <c r="C47" s="39">
        <v>19000.0</v>
      </c>
      <c r="D47" s="7">
        <f t="shared" si="2"/>
        <v>11400</v>
      </c>
      <c r="E47" s="7">
        <f t="shared" ref="E47:F47" si="49">if($D47&lt;15000,$D47*12/100,15000*12/100)</f>
        <v>1368</v>
      </c>
      <c r="F47" s="7">
        <f t="shared" si="49"/>
        <v>1368</v>
      </c>
      <c r="G47" s="7">
        <f t="shared" si="4"/>
        <v>2736</v>
      </c>
    </row>
    <row r="48">
      <c r="A48" s="8">
        <f t="shared" si="5"/>
        <v>47</v>
      </c>
      <c r="B48" s="30" t="s">
        <v>237</v>
      </c>
      <c r="C48" s="39">
        <v>20000.0</v>
      </c>
      <c r="D48" s="7">
        <f t="shared" si="2"/>
        <v>12000</v>
      </c>
      <c r="E48" s="7">
        <f t="shared" ref="E48:F48" si="50">if($D48&lt;15000,$D48*12/100,15000*12/100)</f>
        <v>1440</v>
      </c>
      <c r="F48" s="7">
        <f t="shared" si="50"/>
        <v>1440</v>
      </c>
      <c r="G48" s="7">
        <f t="shared" si="4"/>
        <v>2880</v>
      </c>
    </row>
    <row r="49">
      <c r="A49" s="8">
        <f t="shared" si="5"/>
        <v>48</v>
      </c>
      <c r="B49" s="30" t="s">
        <v>272</v>
      </c>
      <c r="C49" s="39">
        <v>17733.0</v>
      </c>
      <c r="D49" s="7">
        <f t="shared" si="2"/>
        <v>10639.8</v>
      </c>
      <c r="E49" s="7">
        <f t="shared" ref="E49:F49" si="51">if($D49&lt;15000,$D49*12/100,15000*12/100)</f>
        <v>1276.776</v>
      </c>
      <c r="F49" s="7">
        <f t="shared" si="51"/>
        <v>1276.776</v>
      </c>
      <c r="G49" s="7">
        <f t="shared" si="4"/>
        <v>2553.552</v>
      </c>
    </row>
    <row r="50">
      <c r="A50" s="8">
        <f t="shared" si="5"/>
        <v>49</v>
      </c>
      <c r="B50" s="30" t="s">
        <v>238</v>
      </c>
      <c r="C50" s="39">
        <v>15000.0</v>
      </c>
      <c r="D50" s="7">
        <f t="shared" si="2"/>
        <v>9000</v>
      </c>
      <c r="E50" s="7">
        <f t="shared" ref="E50:F50" si="52">if($D50&lt;15000,$D50*12/100,15000*12/100)</f>
        <v>1080</v>
      </c>
      <c r="F50" s="7">
        <f t="shared" si="52"/>
        <v>1080</v>
      </c>
      <c r="G50" s="7">
        <f t="shared" si="4"/>
        <v>2160</v>
      </c>
    </row>
    <row r="51">
      <c r="A51" s="8">
        <f t="shared" si="5"/>
        <v>50</v>
      </c>
      <c r="B51" s="30" t="s">
        <v>239</v>
      </c>
      <c r="C51" s="39">
        <v>19000.0</v>
      </c>
      <c r="D51" s="7">
        <f t="shared" si="2"/>
        <v>11400</v>
      </c>
      <c r="E51" s="7">
        <f t="shared" ref="E51:F51" si="53">if($D51&lt;15000,$D51*12/100,15000*12/100)</f>
        <v>1368</v>
      </c>
      <c r="F51" s="7">
        <f t="shared" si="53"/>
        <v>1368</v>
      </c>
      <c r="G51" s="7">
        <f t="shared" si="4"/>
        <v>2736</v>
      </c>
    </row>
    <row r="52">
      <c r="A52" s="8">
        <f t="shared" si="5"/>
        <v>51</v>
      </c>
      <c r="B52" s="30" t="s">
        <v>240</v>
      </c>
      <c r="C52" s="39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30" t="s">
        <v>241</v>
      </c>
      <c r="C53" s="39">
        <v>12800.0</v>
      </c>
      <c r="D53" s="7">
        <f t="shared" si="2"/>
        <v>7680</v>
      </c>
      <c r="E53" s="7">
        <f t="shared" ref="E53:F53" si="55">if($D53&lt;15000,$D53*12/100,15000*12/100)</f>
        <v>921.6</v>
      </c>
      <c r="F53" s="7">
        <f t="shared" si="55"/>
        <v>921.6</v>
      </c>
      <c r="G53" s="7">
        <f t="shared" si="4"/>
        <v>1843.2</v>
      </c>
    </row>
    <row r="54">
      <c r="A54" s="8">
        <f t="shared" si="5"/>
        <v>53</v>
      </c>
      <c r="B54" s="30" t="s">
        <v>242</v>
      </c>
      <c r="C54" s="39">
        <v>17000.0</v>
      </c>
      <c r="D54" s="7">
        <f t="shared" si="2"/>
        <v>10200</v>
      </c>
      <c r="E54" s="7">
        <f t="shared" ref="E54:F54" si="56">if($D54&lt;15000,$D54*12/100,15000*12/100)</f>
        <v>1224</v>
      </c>
      <c r="F54" s="7">
        <f t="shared" si="56"/>
        <v>1224</v>
      </c>
      <c r="G54" s="7">
        <f t="shared" si="4"/>
        <v>2448</v>
      </c>
    </row>
    <row r="55">
      <c r="A55" s="8">
        <f t="shared" si="5"/>
        <v>54</v>
      </c>
      <c r="B55" s="30" t="s">
        <v>243</v>
      </c>
      <c r="C55" s="39">
        <v>15467.0</v>
      </c>
      <c r="D55" s="7">
        <f t="shared" si="2"/>
        <v>9280.2</v>
      </c>
      <c r="E55" s="7">
        <f t="shared" ref="E55:F55" si="57">if($D55&lt;15000,$D55*12/100,15000*12/100)</f>
        <v>1113.624</v>
      </c>
      <c r="F55" s="7">
        <f t="shared" si="57"/>
        <v>1113.624</v>
      </c>
      <c r="G55" s="7">
        <f t="shared" si="4"/>
        <v>2227.248</v>
      </c>
    </row>
    <row r="56">
      <c r="A56" s="8">
        <f t="shared" si="5"/>
        <v>55</v>
      </c>
      <c r="B56" s="30" t="s">
        <v>246</v>
      </c>
      <c r="C56" s="39">
        <v>14750.0</v>
      </c>
      <c r="D56" s="7">
        <f t="shared" si="2"/>
        <v>8850</v>
      </c>
      <c r="E56" s="7">
        <f t="shared" ref="E56:F56" si="58">if($D56&lt;15000,$D56*12/100,15000*12/100)</f>
        <v>1062</v>
      </c>
      <c r="F56" s="7">
        <f t="shared" si="58"/>
        <v>1062</v>
      </c>
      <c r="G56" s="7">
        <f t="shared" si="4"/>
        <v>2124</v>
      </c>
    </row>
    <row r="57">
      <c r="A57" s="8">
        <f t="shared" si="5"/>
        <v>56</v>
      </c>
      <c r="B57" s="30" t="s">
        <v>37</v>
      </c>
      <c r="C57" s="39">
        <v>12500.0</v>
      </c>
      <c r="D57" s="7">
        <f t="shared" si="2"/>
        <v>7500</v>
      </c>
      <c r="E57" s="7">
        <f t="shared" ref="E57:F57" si="59">if($D57&lt;15000,$D57*12/100,15000*12/100)</f>
        <v>900</v>
      </c>
      <c r="F57" s="7">
        <f t="shared" si="59"/>
        <v>900</v>
      </c>
      <c r="G57" s="7">
        <f t="shared" si="4"/>
        <v>1800</v>
      </c>
    </row>
    <row r="58">
      <c r="A58" s="8">
        <f t="shared" si="5"/>
        <v>57</v>
      </c>
      <c r="B58" s="30" t="s">
        <v>247</v>
      </c>
      <c r="C58" s="39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30" t="s">
        <v>273</v>
      </c>
      <c r="C59" s="39">
        <v>12000.0</v>
      </c>
      <c r="D59" s="7">
        <f t="shared" si="2"/>
        <v>7200</v>
      </c>
      <c r="E59" s="7">
        <f t="shared" ref="E59:F59" si="61">if($D59&lt;15000,$D59*12/100,15000*12/100)</f>
        <v>864</v>
      </c>
      <c r="F59" s="7">
        <f t="shared" si="61"/>
        <v>864</v>
      </c>
      <c r="G59" s="7">
        <f t="shared" si="4"/>
        <v>1728</v>
      </c>
    </row>
    <row r="60">
      <c r="A60" s="8">
        <f t="shared" si="5"/>
        <v>59</v>
      </c>
      <c r="B60" s="30" t="s">
        <v>274</v>
      </c>
      <c r="C60" s="39">
        <v>20000.0</v>
      </c>
      <c r="D60" s="7">
        <f t="shared" si="2"/>
        <v>12000</v>
      </c>
      <c r="E60" s="7">
        <f t="shared" ref="E60:F60" si="62">if($D60&lt;15000,$D60*12/100,15000*12/100)</f>
        <v>1440</v>
      </c>
      <c r="F60" s="7">
        <f t="shared" si="62"/>
        <v>1440</v>
      </c>
      <c r="G60" s="7">
        <f t="shared" si="4"/>
        <v>2880</v>
      </c>
    </row>
    <row r="61">
      <c r="A61" s="8">
        <f t="shared" si="5"/>
        <v>60</v>
      </c>
      <c r="B61" s="30" t="s">
        <v>248</v>
      </c>
      <c r="C61" s="39">
        <v>27000.0</v>
      </c>
      <c r="D61" s="7">
        <f t="shared" si="2"/>
        <v>16200</v>
      </c>
      <c r="E61" s="7">
        <f t="shared" ref="E61:F61" si="63">if($D61&lt;15000,$D61*12/100,15000*12/100)</f>
        <v>1800</v>
      </c>
      <c r="F61" s="7">
        <f t="shared" si="63"/>
        <v>1800</v>
      </c>
      <c r="G61" s="7">
        <f t="shared" si="4"/>
        <v>3600</v>
      </c>
    </row>
    <row r="62">
      <c r="A62" s="8">
        <f t="shared" si="5"/>
        <v>61</v>
      </c>
      <c r="B62" s="40" t="s">
        <v>96</v>
      </c>
      <c r="C62" s="39">
        <v>22500.0</v>
      </c>
      <c r="D62" s="7">
        <f t="shared" si="2"/>
        <v>13500</v>
      </c>
      <c r="E62" s="7">
        <f t="shared" ref="E62:F62" si="64">if($D62&lt;15000,$D62*12/100,15000*12/100)</f>
        <v>1620</v>
      </c>
      <c r="F62" s="7">
        <f t="shared" si="64"/>
        <v>1620</v>
      </c>
      <c r="G62" s="7">
        <f t="shared" si="4"/>
        <v>3240</v>
      </c>
    </row>
    <row r="63">
      <c r="A63" s="8">
        <f t="shared" si="5"/>
        <v>62</v>
      </c>
      <c r="B63" s="40" t="s">
        <v>249</v>
      </c>
      <c r="C63" s="39">
        <v>17000.0</v>
      </c>
      <c r="D63" s="7">
        <f t="shared" si="2"/>
        <v>10200</v>
      </c>
      <c r="E63" s="7">
        <f t="shared" ref="E63:F63" si="65">if($D63&lt;15000,$D63*12/100,15000*12/100)</f>
        <v>1224</v>
      </c>
      <c r="F63" s="7">
        <f t="shared" si="65"/>
        <v>1224</v>
      </c>
      <c r="G63" s="7">
        <f t="shared" si="4"/>
        <v>2448</v>
      </c>
    </row>
    <row r="64">
      <c r="A64" s="8">
        <f t="shared" si="5"/>
        <v>63</v>
      </c>
      <c r="B64" s="40" t="s">
        <v>250</v>
      </c>
      <c r="C64" s="39">
        <v>20000.0</v>
      </c>
      <c r="D64" s="7">
        <f t="shared" si="2"/>
        <v>12000</v>
      </c>
      <c r="E64" s="7">
        <f t="shared" ref="E64:F64" si="66">if($D64&lt;15000,$D64*12/100,15000*12/100)</f>
        <v>1440</v>
      </c>
      <c r="F64" s="7">
        <f t="shared" si="66"/>
        <v>1440</v>
      </c>
      <c r="G64" s="7">
        <f t="shared" si="4"/>
        <v>2880</v>
      </c>
    </row>
    <row r="65">
      <c r="A65" s="8">
        <f t="shared" si="5"/>
        <v>64</v>
      </c>
      <c r="B65" s="30" t="s">
        <v>251</v>
      </c>
      <c r="C65" s="39">
        <v>22000.0</v>
      </c>
      <c r="D65" s="7">
        <f t="shared" si="2"/>
        <v>13200</v>
      </c>
      <c r="E65" s="7">
        <f t="shared" ref="E65:F65" si="67">if($D65&lt;15000,$D65*12/100,15000*12/100)</f>
        <v>1584</v>
      </c>
      <c r="F65" s="7">
        <f t="shared" si="67"/>
        <v>1584</v>
      </c>
      <c r="G65" s="7">
        <f t="shared" si="4"/>
        <v>3168</v>
      </c>
    </row>
    <row r="66">
      <c r="A66" s="8">
        <f t="shared" si="5"/>
        <v>65</v>
      </c>
      <c r="B66" s="30" t="s">
        <v>275</v>
      </c>
      <c r="C66" s="39">
        <v>16000.0</v>
      </c>
      <c r="D66" s="7">
        <f t="shared" si="2"/>
        <v>9600</v>
      </c>
      <c r="E66" s="7">
        <f t="shared" ref="E66:F66" si="68">if($D66&lt;15000,$D66*12/100,15000*12/100)</f>
        <v>1152</v>
      </c>
      <c r="F66" s="7">
        <f t="shared" si="68"/>
        <v>1152</v>
      </c>
      <c r="G66" s="7">
        <f t="shared" si="4"/>
        <v>2304</v>
      </c>
    </row>
    <row r="67">
      <c r="A67" s="8">
        <f t="shared" si="5"/>
        <v>66</v>
      </c>
      <c r="B67" s="30" t="s">
        <v>276</v>
      </c>
      <c r="C67" s="39">
        <v>20700.0</v>
      </c>
      <c r="D67" s="7">
        <f t="shared" si="2"/>
        <v>12420</v>
      </c>
      <c r="E67" s="7">
        <f t="shared" ref="E67:F67" si="69">if($D67&lt;15000,$D67*12/100,15000*12/100)</f>
        <v>1490.4</v>
      </c>
      <c r="F67" s="7">
        <f t="shared" si="69"/>
        <v>1490.4</v>
      </c>
      <c r="G67" s="7">
        <f t="shared" si="4"/>
        <v>2980.8</v>
      </c>
    </row>
    <row r="68">
      <c r="A68" s="8">
        <f t="shared" si="5"/>
        <v>67</v>
      </c>
      <c r="B68" s="30" t="s">
        <v>277</v>
      </c>
      <c r="C68" s="39">
        <v>13867.0</v>
      </c>
      <c r="D68" s="7">
        <f t="shared" si="2"/>
        <v>8320.2</v>
      </c>
      <c r="E68" s="7">
        <f t="shared" ref="E68:F68" si="70">if($D68&lt;15000,$D68*12/100,15000*12/100)</f>
        <v>998.424</v>
      </c>
      <c r="F68" s="7">
        <f t="shared" si="70"/>
        <v>998.424</v>
      </c>
      <c r="G68" s="7">
        <f t="shared" si="4"/>
        <v>1996.848</v>
      </c>
    </row>
    <row r="69">
      <c r="A69" s="8">
        <f t="shared" si="5"/>
        <v>68</v>
      </c>
      <c r="B69" s="23" t="s">
        <v>266</v>
      </c>
      <c r="C69" s="39">
        <v>9000.0</v>
      </c>
      <c r="D69" s="7">
        <f t="shared" si="2"/>
        <v>5400</v>
      </c>
      <c r="E69" s="7">
        <f t="shared" ref="E69:F69" si="71">if($D69&lt;15000,$D69*12/100,15000*12/100)</f>
        <v>648</v>
      </c>
      <c r="F69" s="7">
        <f t="shared" si="71"/>
        <v>648</v>
      </c>
      <c r="G69" s="7">
        <f t="shared" si="4"/>
        <v>1296</v>
      </c>
    </row>
    <row r="70">
      <c r="A70" s="8">
        <f t="shared" si="5"/>
        <v>69</v>
      </c>
      <c r="B70" s="23" t="s">
        <v>267</v>
      </c>
      <c r="C70" s="39">
        <v>10000.0</v>
      </c>
      <c r="D70" s="7">
        <f t="shared" si="2"/>
        <v>6000</v>
      </c>
      <c r="E70" s="7">
        <f t="shared" ref="E70:F70" si="72">if($D70&lt;15000,$D70*12/100,15000*12/100)</f>
        <v>720</v>
      </c>
      <c r="F70" s="7">
        <f t="shared" si="72"/>
        <v>720</v>
      </c>
      <c r="G70" s="7">
        <f t="shared" si="4"/>
        <v>1440</v>
      </c>
    </row>
    <row r="71">
      <c r="A71" s="8">
        <f t="shared" si="5"/>
        <v>70</v>
      </c>
      <c r="B71" s="23" t="s">
        <v>268</v>
      </c>
      <c r="C71" s="39">
        <v>7000.0</v>
      </c>
      <c r="D71" s="7">
        <f t="shared" si="2"/>
        <v>4200</v>
      </c>
      <c r="E71" s="7">
        <f t="shared" ref="E71:F71" si="73">if($D71&lt;15000,$D71*12/100,15000*12/100)</f>
        <v>504</v>
      </c>
      <c r="F71" s="7">
        <f t="shared" si="73"/>
        <v>504</v>
      </c>
      <c r="G71" s="7">
        <f t="shared" si="4"/>
        <v>1008</v>
      </c>
    </row>
    <row r="72">
      <c r="A72" s="8">
        <f t="shared" si="5"/>
        <v>71</v>
      </c>
      <c r="B72" s="23" t="s">
        <v>269</v>
      </c>
      <c r="C72" s="39">
        <v>8000.0</v>
      </c>
      <c r="D72" s="7">
        <f t="shared" si="2"/>
        <v>4800</v>
      </c>
      <c r="E72" s="7">
        <f t="shared" ref="E72:F72" si="74">if($D72&lt;15000,$D72*12/100,15000*12/100)</f>
        <v>576</v>
      </c>
      <c r="F72" s="7">
        <f t="shared" si="74"/>
        <v>576</v>
      </c>
      <c r="G72" s="7">
        <f t="shared" si="4"/>
        <v>1152</v>
      </c>
    </row>
    <row r="73">
      <c r="A73" s="8">
        <f t="shared" si="5"/>
        <v>72</v>
      </c>
      <c r="B73" s="23" t="s">
        <v>270</v>
      </c>
      <c r="C73" s="39">
        <v>9000.0</v>
      </c>
      <c r="D73" s="7">
        <f t="shared" si="2"/>
        <v>5400</v>
      </c>
      <c r="E73" s="7">
        <f t="shared" ref="E73:F73" si="75">if($D73&lt;15000,$D73*12/100,15000*12/100)</f>
        <v>648</v>
      </c>
      <c r="F73" s="7">
        <f t="shared" si="75"/>
        <v>648</v>
      </c>
      <c r="G73" s="7">
        <f t="shared" si="4"/>
        <v>1296</v>
      </c>
    </row>
    <row r="74">
      <c r="A74" s="8">
        <f t="shared" si="5"/>
        <v>73</v>
      </c>
      <c r="B74" s="23" t="s">
        <v>271</v>
      </c>
      <c r="C74" s="39">
        <v>20000.0</v>
      </c>
      <c r="D74" s="7">
        <f t="shared" si="2"/>
        <v>12000</v>
      </c>
      <c r="E74" s="7">
        <f t="shared" ref="E74:F74" si="76">if($D74&lt;15000,$D74*12/100,15000*12/100)</f>
        <v>1440</v>
      </c>
      <c r="F74" s="7">
        <f t="shared" si="76"/>
        <v>1440</v>
      </c>
      <c r="G74" s="7">
        <f t="shared" si="4"/>
        <v>2880</v>
      </c>
    </row>
    <row r="75">
      <c r="A75" s="8">
        <f t="shared" si="5"/>
        <v>74</v>
      </c>
      <c r="B75" s="30" t="s">
        <v>255</v>
      </c>
      <c r="C75" s="39">
        <v>23000.0</v>
      </c>
      <c r="D75" s="7">
        <f t="shared" si="2"/>
        <v>13800</v>
      </c>
      <c r="E75" s="7">
        <f t="shared" ref="E75:F75" si="77">if($D75&lt;15000,$D75*12/100,15000*12/100)</f>
        <v>1656</v>
      </c>
      <c r="F75" s="7">
        <f t="shared" si="77"/>
        <v>1656</v>
      </c>
      <c r="G75" s="7">
        <f t="shared" si="4"/>
        <v>3312</v>
      </c>
    </row>
    <row r="76">
      <c r="A76" s="8">
        <f t="shared" si="5"/>
        <v>75</v>
      </c>
      <c r="B76" s="30" t="s">
        <v>32</v>
      </c>
      <c r="C76" s="39">
        <v>25133.0</v>
      </c>
      <c r="D76" s="7">
        <f t="shared" si="2"/>
        <v>15079.8</v>
      </c>
      <c r="E76" s="7">
        <f t="shared" ref="E76:F76" si="78">if($D76&lt;15000,$D76*12/100,15000*12/100)</f>
        <v>1800</v>
      </c>
      <c r="F76" s="7">
        <f t="shared" si="78"/>
        <v>1800</v>
      </c>
      <c r="G76" s="7">
        <f t="shared" si="4"/>
        <v>3600</v>
      </c>
    </row>
    <row r="77">
      <c r="A77" s="8">
        <f t="shared" si="5"/>
        <v>76</v>
      </c>
      <c r="B77" s="30" t="s">
        <v>30</v>
      </c>
      <c r="C77" s="39">
        <v>19333.0</v>
      </c>
      <c r="D77" s="7">
        <f t="shared" si="2"/>
        <v>11599.8</v>
      </c>
      <c r="E77" s="7">
        <f t="shared" ref="E77:F77" si="79">if($D77&lt;15000,$D77*12/100,15000*12/100)</f>
        <v>1391.976</v>
      </c>
      <c r="F77" s="7">
        <f t="shared" si="79"/>
        <v>1391.976</v>
      </c>
      <c r="G77" s="7">
        <f t="shared" si="4"/>
        <v>2783.952</v>
      </c>
    </row>
    <row r="78">
      <c r="A78" s="8">
        <f t="shared" si="5"/>
        <v>77</v>
      </c>
      <c r="B78" s="30" t="s">
        <v>256</v>
      </c>
      <c r="C78" s="39">
        <v>22617.0</v>
      </c>
      <c r="D78" s="7">
        <f t="shared" si="2"/>
        <v>13570.2</v>
      </c>
      <c r="E78" s="7">
        <f t="shared" ref="E78:F78" si="80">if($D78&lt;15000,$D78*12/100,15000*12/100)</f>
        <v>1628.424</v>
      </c>
      <c r="F78" s="7">
        <f t="shared" si="80"/>
        <v>1628.424</v>
      </c>
      <c r="G78" s="7">
        <f t="shared" si="4"/>
        <v>3256.848</v>
      </c>
    </row>
    <row r="79">
      <c r="A79" s="8">
        <f t="shared" si="5"/>
        <v>78</v>
      </c>
      <c r="B79" s="30" t="s">
        <v>257</v>
      </c>
      <c r="C79" s="39">
        <v>23400.0</v>
      </c>
      <c r="D79" s="7">
        <f t="shared" si="2"/>
        <v>14040</v>
      </c>
      <c r="E79" s="7">
        <f t="shared" ref="E79:F79" si="81">if($D79&lt;15000,$D79*12/100,15000*12/100)</f>
        <v>1684.8</v>
      </c>
      <c r="F79" s="7">
        <f t="shared" si="81"/>
        <v>1684.8</v>
      </c>
      <c r="G79" s="7">
        <f t="shared" si="4"/>
        <v>3369.6</v>
      </c>
    </row>
    <row r="80">
      <c r="A80" s="8">
        <f t="shared" si="5"/>
        <v>79</v>
      </c>
      <c r="B80" s="30" t="s">
        <v>258</v>
      </c>
      <c r="C80" s="39">
        <v>14933.0</v>
      </c>
      <c r="D80" s="7">
        <f t="shared" si="2"/>
        <v>8959.8</v>
      </c>
      <c r="E80" s="7">
        <f t="shared" ref="E80:F80" si="82">if($D80&lt;15000,$D80*12/100,15000*12/100)</f>
        <v>1075.176</v>
      </c>
      <c r="F80" s="7">
        <f t="shared" si="82"/>
        <v>1075.176</v>
      </c>
      <c r="G80" s="7">
        <f t="shared" si="4"/>
        <v>2150.352</v>
      </c>
    </row>
    <row r="81">
      <c r="A81" s="8">
        <f t="shared" si="5"/>
        <v>80</v>
      </c>
      <c r="B81" s="30" t="s">
        <v>259</v>
      </c>
      <c r="C81" s="39">
        <v>18700.0</v>
      </c>
      <c r="D81" s="7">
        <f t="shared" si="2"/>
        <v>11220</v>
      </c>
      <c r="E81" s="7">
        <f t="shared" ref="E81:F81" si="83">if($D81&lt;15000,$D81*12/100,15000*12/100)</f>
        <v>1346.4</v>
      </c>
      <c r="F81" s="7">
        <f t="shared" si="83"/>
        <v>1346.4</v>
      </c>
      <c r="G81" s="7">
        <f t="shared" si="4"/>
        <v>2692.8</v>
      </c>
    </row>
    <row r="82">
      <c r="A82" s="8">
        <f t="shared" si="5"/>
        <v>81</v>
      </c>
      <c r="B82" s="30" t="s">
        <v>260</v>
      </c>
      <c r="C82" s="39">
        <v>15000.0</v>
      </c>
      <c r="D82" s="7">
        <f t="shared" si="2"/>
        <v>9000</v>
      </c>
      <c r="E82" s="7">
        <f t="shared" ref="E82:F82" si="84">if($D82&lt;15000,$D82*12/100,15000*12/100)</f>
        <v>1080</v>
      </c>
      <c r="F82" s="7">
        <f t="shared" si="84"/>
        <v>1080</v>
      </c>
      <c r="G82" s="7">
        <f t="shared" si="4"/>
        <v>2160</v>
      </c>
    </row>
    <row r="83">
      <c r="A83" s="8">
        <f t="shared" si="5"/>
        <v>82</v>
      </c>
      <c r="B83" s="30" t="s">
        <v>261</v>
      </c>
      <c r="C83" s="39">
        <v>15000.0</v>
      </c>
      <c r="D83" s="7">
        <f t="shared" si="2"/>
        <v>9000</v>
      </c>
      <c r="E83" s="7">
        <f t="shared" ref="E83:F83" si="85">if($D83&lt;15000,$D83*12/100,15000*12/100)</f>
        <v>1080</v>
      </c>
      <c r="F83" s="7">
        <f t="shared" si="85"/>
        <v>1080</v>
      </c>
      <c r="G83" s="7">
        <f t="shared" si="4"/>
        <v>2160</v>
      </c>
    </row>
    <row r="84">
      <c r="A84" s="8">
        <f t="shared" si="5"/>
        <v>83</v>
      </c>
      <c r="B84" s="30" t="s">
        <v>262</v>
      </c>
      <c r="C84" s="39">
        <v>11500.0</v>
      </c>
      <c r="D84" s="7">
        <f t="shared" si="2"/>
        <v>6900</v>
      </c>
      <c r="E84" s="7">
        <f t="shared" ref="E84:F84" si="86">if($D84&lt;15000,$D84*12/100,15000*12/100)</f>
        <v>828</v>
      </c>
      <c r="F84" s="7">
        <f t="shared" si="86"/>
        <v>828</v>
      </c>
      <c r="G84" s="7">
        <f t="shared" si="4"/>
        <v>1656</v>
      </c>
    </row>
    <row r="85">
      <c r="A85" s="8">
        <f t="shared" si="5"/>
        <v>84</v>
      </c>
      <c r="B85" s="30" t="s">
        <v>263</v>
      </c>
      <c r="C85" s="39">
        <v>12500.0</v>
      </c>
      <c r="D85" s="7">
        <f t="shared" si="2"/>
        <v>7500</v>
      </c>
      <c r="E85" s="7">
        <f t="shared" ref="E85:F85" si="87">if($D85&lt;15000,$D85*12/100,15000*12/100)</f>
        <v>900</v>
      </c>
      <c r="F85" s="7">
        <f t="shared" si="87"/>
        <v>900</v>
      </c>
      <c r="G85" s="7">
        <f t="shared" si="4"/>
        <v>1800</v>
      </c>
    </row>
    <row r="86">
      <c r="A86" s="9" t="s">
        <v>34</v>
      </c>
      <c r="B86" s="10"/>
      <c r="C86" s="11">
        <f t="shared" ref="C86:G86" si="88">sum(C2:C85)</f>
        <v>2066700</v>
      </c>
      <c r="D86" s="11">
        <f t="shared" si="88"/>
        <v>1240020</v>
      </c>
      <c r="E86" s="11">
        <f t="shared" si="88"/>
        <v>120368.376</v>
      </c>
      <c r="F86" s="11">
        <f t="shared" si="88"/>
        <v>120368.376</v>
      </c>
      <c r="G86" s="11">
        <f t="shared" si="88"/>
        <v>240736.752</v>
      </c>
    </row>
  </sheetData>
  <mergeCells count="1">
    <mergeCell ref="A86:B86"/>
  </mergeCells>
  <hyperlinks>
    <hyperlink r:id="rId1" ref="A1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6" t="s">
        <v>193</v>
      </c>
      <c r="C2" s="41">
        <v>80000.0</v>
      </c>
      <c r="D2" s="7">
        <f t="shared" ref="D2:D86" si="2">C2*60/100</f>
        <v>48000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6" si="4">E2+F2</f>
        <v>3600</v>
      </c>
    </row>
    <row r="3">
      <c r="A3" s="8">
        <f t="shared" ref="A3:A86" si="5">A2+1</f>
        <v>2</v>
      </c>
      <c r="B3" s="26" t="s">
        <v>195</v>
      </c>
      <c r="C3" s="42">
        <v>47581.0</v>
      </c>
      <c r="D3" s="7">
        <f t="shared" si="2"/>
        <v>28548.6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196</v>
      </c>
      <c r="C4" s="42">
        <v>75000.0</v>
      </c>
      <c r="D4" s="7">
        <f t="shared" si="2"/>
        <v>45000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197</v>
      </c>
      <c r="C5" s="42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6" t="s">
        <v>198</v>
      </c>
      <c r="C6" s="42">
        <v>77000.0</v>
      </c>
      <c r="D6" s="7">
        <f t="shared" si="2"/>
        <v>46200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26" t="s">
        <v>199</v>
      </c>
      <c r="C7" s="42">
        <v>72000.0</v>
      </c>
      <c r="D7" s="7">
        <f t="shared" si="2"/>
        <v>43200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26" t="s">
        <v>200</v>
      </c>
      <c r="C8" s="42">
        <v>35000.0</v>
      </c>
      <c r="D8" s="7">
        <f t="shared" si="2"/>
        <v>21000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6" t="s">
        <v>201</v>
      </c>
      <c r="C9" s="42">
        <v>27000.0</v>
      </c>
      <c r="D9" s="7">
        <f t="shared" si="2"/>
        <v>16200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26" t="s">
        <v>202</v>
      </c>
      <c r="C10" s="42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203</v>
      </c>
      <c r="C11" s="42">
        <v>38000.0</v>
      </c>
      <c r="D11" s="7">
        <f t="shared" si="2"/>
        <v>22800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26" t="s">
        <v>204</v>
      </c>
      <c r="C12" s="42">
        <v>34000.0</v>
      </c>
      <c r="D12" s="7">
        <f t="shared" si="2"/>
        <v>20400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205</v>
      </c>
      <c r="C13" s="42">
        <v>37000.0</v>
      </c>
      <c r="D13" s="7">
        <f t="shared" si="2"/>
        <v>22200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206</v>
      </c>
      <c r="C14" s="42">
        <v>26565.0</v>
      </c>
      <c r="D14" s="7">
        <f t="shared" si="2"/>
        <v>15939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207</v>
      </c>
      <c r="C15" s="42">
        <v>39000.0</v>
      </c>
      <c r="D15" s="7">
        <f t="shared" si="2"/>
        <v>23400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26" t="s">
        <v>208</v>
      </c>
      <c r="C16" s="42">
        <v>32000.0</v>
      </c>
      <c r="D16" s="7">
        <f t="shared" si="2"/>
        <v>19200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209</v>
      </c>
      <c r="C17" s="42">
        <v>28000.0</v>
      </c>
      <c r="D17" s="7">
        <f t="shared" si="2"/>
        <v>16800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210</v>
      </c>
      <c r="C18" s="42">
        <v>31000.0</v>
      </c>
      <c r="D18" s="7">
        <f t="shared" si="2"/>
        <v>18600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211</v>
      </c>
      <c r="C19" s="42">
        <v>32000.0</v>
      </c>
      <c r="D19" s="7">
        <f t="shared" si="2"/>
        <v>19200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212</v>
      </c>
      <c r="C20" s="42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213</v>
      </c>
      <c r="C21" s="42">
        <v>24000.0</v>
      </c>
      <c r="D21" s="7">
        <f t="shared" si="2"/>
        <v>14400</v>
      </c>
      <c r="E21" s="7">
        <f t="shared" ref="E21:F21" si="23">if($D21&lt;15000,$D21*12/100,15000*12/100)</f>
        <v>1728</v>
      </c>
      <c r="F21" s="7">
        <f t="shared" si="23"/>
        <v>1728</v>
      </c>
      <c r="G21" s="7">
        <f t="shared" si="4"/>
        <v>3456</v>
      </c>
    </row>
    <row r="22">
      <c r="A22" s="8">
        <f t="shared" si="5"/>
        <v>21</v>
      </c>
      <c r="B22" s="26" t="s">
        <v>214</v>
      </c>
      <c r="C22" s="42">
        <v>24000.0</v>
      </c>
      <c r="D22" s="7">
        <f t="shared" si="2"/>
        <v>14400</v>
      </c>
      <c r="E22" s="7">
        <f t="shared" ref="E22:F22" si="24">if($D22&lt;15000,$D22*12/100,15000*12/100)</f>
        <v>1728</v>
      </c>
      <c r="F22" s="7">
        <f t="shared" si="24"/>
        <v>1728</v>
      </c>
      <c r="G22" s="7">
        <f t="shared" si="4"/>
        <v>3456</v>
      </c>
    </row>
    <row r="23">
      <c r="A23" s="8">
        <f t="shared" si="5"/>
        <v>22</v>
      </c>
      <c r="B23" s="26" t="s">
        <v>252</v>
      </c>
      <c r="C23" s="42">
        <v>23000.0</v>
      </c>
      <c r="D23" s="7">
        <f t="shared" si="2"/>
        <v>13800</v>
      </c>
      <c r="E23" s="7">
        <f t="shared" ref="E23:F23" si="25">if($D23&lt;15000,$D23*12/100,15000*12/100)</f>
        <v>1656</v>
      </c>
      <c r="F23" s="7">
        <f t="shared" si="25"/>
        <v>1656</v>
      </c>
      <c r="G23" s="7">
        <f t="shared" si="4"/>
        <v>3312</v>
      </c>
    </row>
    <row r="24">
      <c r="A24" s="8">
        <f t="shared" si="5"/>
        <v>23</v>
      </c>
      <c r="B24" s="26" t="s">
        <v>216</v>
      </c>
      <c r="C24" s="42">
        <v>25000.0</v>
      </c>
      <c r="D24" s="7">
        <f t="shared" si="2"/>
        <v>15000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26" t="s">
        <v>227</v>
      </c>
      <c r="C25" s="42">
        <v>16452.0</v>
      </c>
      <c r="D25" s="7">
        <f t="shared" si="2"/>
        <v>9871.2</v>
      </c>
      <c r="E25" s="7">
        <f t="shared" ref="E25:F25" si="27">if($D25&lt;15000,$D25*12/100,15000*12/100)</f>
        <v>1184.544</v>
      </c>
      <c r="F25" s="7">
        <f t="shared" si="27"/>
        <v>1184.544</v>
      </c>
      <c r="G25" s="7">
        <f t="shared" si="4"/>
        <v>2369.088</v>
      </c>
    </row>
    <row r="26">
      <c r="A26" s="8">
        <f t="shared" si="5"/>
        <v>25</v>
      </c>
      <c r="B26" s="26" t="s">
        <v>223</v>
      </c>
      <c r="C26" s="42">
        <v>23000.0</v>
      </c>
      <c r="D26" s="7">
        <f t="shared" si="2"/>
        <v>13800</v>
      </c>
      <c r="E26" s="7">
        <f t="shared" ref="E26:F26" si="28">if($D26&lt;15000,$D26*12/100,15000*12/100)</f>
        <v>1656</v>
      </c>
      <c r="F26" s="7">
        <f t="shared" si="28"/>
        <v>1656</v>
      </c>
      <c r="G26" s="7">
        <f t="shared" si="4"/>
        <v>3312</v>
      </c>
    </row>
    <row r="27">
      <c r="A27" s="8">
        <f t="shared" si="5"/>
        <v>26</v>
      </c>
      <c r="B27" s="26" t="s">
        <v>86</v>
      </c>
      <c r="C27" s="42">
        <v>21226.0</v>
      </c>
      <c r="D27" s="7">
        <f t="shared" si="2"/>
        <v>12735.6</v>
      </c>
      <c r="E27" s="7">
        <f t="shared" ref="E27:F27" si="29">if($D27&lt;15000,$D27*12/100,15000*12/100)</f>
        <v>1528.272</v>
      </c>
      <c r="F27" s="7">
        <f t="shared" si="29"/>
        <v>1528.272</v>
      </c>
      <c r="G27" s="7">
        <f t="shared" si="4"/>
        <v>3056.544</v>
      </c>
    </row>
    <row r="28">
      <c r="A28" s="8">
        <f t="shared" si="5"/>
        <v>27</v>
      </c>
      <c r="B28" s="26" t="s">
        <v>224</v>
      </c>
      <c r="C28" s="42">
        <v>25000.0</v>
      </c>
      <c r="D28" s="7">
        <f t="shared" si="2"/>
        <v>15000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</row>
    <row r="29">
      <c r="A29" s="8">
        <f t="shared" si="5"/>
        <v>28</v>
      </c>
      <c r="B29" s="26" t="s">
        <v>222</v>
      </c>
      <c r="C29" s="42">
        <v>25000.0</v>
      </c>
      <c r="D29" s="7">
        <f t="shared" si="2"/>
        <v>15000</v>
      </c>
      <c r="E29" s="7">
        <f t="shared" ref="E29:F29" si="31">if($D29&lt;15000,$D29*12/100,15000*12/100)</f>
        <v>1800</v>
      </c>
      <c r="F29" s="7">
        <f t="shared" si="31"/>
        <v>1800</v>
      </c>
      <c r="G29" s="7">
        <f t="shared" si="4"/>
        <v>3600</v>
      </c>
    </row>
    <row r="30">
      <c r="A30" s="8">
        <f t="shared" si="5"/>
        <v>29</v>
      </c>
      <c r="B30" s="26" t="s">
        <v>265</v>
      </c>
      <c r="C30" s="42">
        <v>20323.0</v>
      </c>
      <c r="D30" s="7">
        <f t="shared" si="2"/>
        <v>12193.8</v>
      </c>
      <c r="E30" s="7">
        <f t="shared" ref="E30:F30" si="32">if($D30&lt;15000,$D30*12/100,15000*12/100)</f>
        <v>1463.256</v>
      </c>
      <c r="F30" s="7">
        <f t="shared" si="32"/>
        <v>1463.256</v>
      </c>
      <c r="G30" s="7">
        <f t="shared" si="4"/>
        <v>2926.512</v>
      </c>
    </row>
    <row r="31">
      <c r="A31" s="8">
        <f t="shared" si="5"/>
        <v>30</v>
      </c>
      <c r="B31" s="26" t="s">
        <v>219</v>
      </c>
      <c r="C31" s="42">
        <v>17774.0</v>
      </c>
      <c r="D31" s="7">
        <f t="shared" si="2"/>
        <v>10664.4</v>
      </c>
      <c r="E31" s="7">
        <f t="shared" ref="E31:F31" si="33">if($D31&lt;15000,$D31*12/100,15000*12/100)</f>
        <v>1279.728</v>
      </c>
      <c r="F31" s="7">
        <f t="shared" si="33"/>
        <v>1279.728</v>
      </c>
      <c r="G31" s="7">
        <f t="shared" si="4"/>
        <v>2559.456</v>
      </c>
    </row>
    <row r="32">
      <c r="A32" s="8">
        <f t="shared" si="5"/>
        <v>31</v>
      </c>
      <c r="B32" s="26" t="s">
        <v>221</v>
      </c>
      <c r="C32" s="42">
        <v>24000.0</v>
      </c>
      <c r="D32" s="7">
        <f t="shared" si="2"/>
        <v>14400</v>
      </c>
      <c r="E32" s="7">
        <f t="shared" ref="E32:F32" si="34">if($D32&lt;15000,$D32*12/100,15000*12/100)</f>
        <v>1728</v>
      </c>
      <c r="F32" s="7">
        <f t="shared" si="34"/>
        <v>1728</v>
      </c>
      <c r="G32" s="7">
        <f t="shared" si="4"/>
        <v>3456</v>
      </c>
    </row>
    <row r="33">
      <c r="A33" s="8">
        <f t="shared" si="5"/>
        <v>32</v>
      </c>
      <c r="B33" s="26" t="s">
        <v>220</v>
      </c>
      <c r="C33" s="42">
        <v>27000.0</v>
      </c>
      <c r="D33" s="7">
        <f t="shared" si="2"/>
        <v>16200</v>
      </c>
      <c r="E33" s="7">
        <f t="shared" ref="E33:F33" si="35">if($D33&lt;15000,$D33*12/100,15000*12/100)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26" t="s">
        <v>276</v>
      </c>
      <c r="C34" s="42">
        <v>23000.0</v>
      </c>
      <c r="D34" s="7">
        <f t="shared" si="2"/>
        <v>13800</v>
      </c>
      <c r="E34" s="7">
        <f t="shared" ref="E34:F34" si="36">if($D34&lt;15000,$D34*12/100,15000*12/100)</f>
        <v>1656</v>
      </c>
      <c r="F34" s="7">
        <f t="shared" si="36"/>
        <v>1656</v>
      </c>
      <c r="G34" s="7">
        <f t="shared" si="4"/>
        <v>3312</v>
      </c>
    </row>
    <row r="35">
      <c r="A35" s="8">
        <f t="shared" si="5"/>
        <v>34</v>
      </c>
      <c r="B35" s="26" t="s">
        <v>217</v>
      </c>
      <c r="C35" s="42">
        <v>21290.0</v>
      </c>
      <c r="D35" s="7">
        <f t="shared" si="2"/>
        <v>12774</v>
      </c>
      <c r="E35" s="7">
        <f t="shared" ref="E35:F35" si="37">if($D35&lt;15000,$D35*12/100,15000*12/100)</f>
        <v>1532.88</v>
      </c>
      <c r="F35" s="7">
        <f t="shared" si="37"/>
        <v>1532.88</v>
      </c>
      <c r="G35" s="7">
        <f t="shared" si="4"/>
        <v>3065.76</v>
      </c>
    </row>
    <row r="36">
      <c r="A36" s="8">
        <f t="shared" si="5"/>
        <v>35</v>
      </c>
      <c r="B36" s="26" t="s">
        <v>218</v>
      </c>
      <c r="C36" s="42">
        <v>22839.0</v>
      </c>
      <c r="D36" s="7">
        <f t="shared" si="2"/>
        <v>13703.4</v>
      </c>
      <c r="E36" s="7">
        <f t="shared" ref="E36:F36" si="38">if($D36&lt;15000,$D36*12/100,15000*12/100)</f>
        <v>1644.408</v>
      </c>
      <c r="F36" s="7">
        <f t="shared" si="38"/>
        <v>1644.408</v>
      </c>
      <c r="G36" s="7">
        <f t="shared" si="4"/>
        <v>3288.816</v>
      </c>
    </row>
    <row r="37">
      <c r="A37" s="8">
        <f t="shared" si="5"/>
        <v>36</v>
      </c>
      <c r="B37" s="26" t="s">
        <v>226</v>
      </c>
      <c r="C37" s="42">
        <v>17000.0</v>
      </c>
      <c r="D37" s="7">
        <f t="shared" si="2"/>
        <v>10200</v>
      </c>
      <c r="E37" s="7">
        <f t="shared" ref="E37:F37" si="39">if($D37&lt;15000,$D37*12/100,15000*12/100)</f>
        <v>1224</v>
      </c>
      <c r="F37" s="7">
        <f t="shared" si="39"/>
        <v>1224</v>
      </c>
      <c r="G37" s="7">
        <f t="shared" si="4"/>
        <v>2448</v>
      </c>
    </row>
    <row r="38">
      <c r="A38" s="8">
        <f t="shared" si="5"/>
        <v>37</v>
      </c>
      <c r="B38" s="30" t="s">
        <v>253</v>
      </c>
      <c r="C38" s="42">
        <v>12790.0</v>
      </c>
      <c r="D38" s="7">
        <f t="shared" si="2"/>
        <v>7674</v>
      </c>
      <c r="E38" s="7">
        <f t="shared" ref="E38:F38" si="40">if($D38&lt;15000,$D38*12/100,15000*12/100)</f>
        <v>920.88</v>
      </c>
      <c r="F38" s="7">
        <f t="shared" si="40"/>
        <v>920.88</v>
      </c>
      <c r="G38" s="7">
        <f t="shared" si="4"/>
        <v>1841.76</v>
      </c>
    </row>
    <row r="39">
      <c r="A39" s="8">
        <f t="shared" si="5"/>
        <v>38</v>
      </c>
      <c r="B39" s="30" t="s">
        <v>244</v>
      </c>
      <c r="C39" s="42">
        <v>15000.0</v>
      </c>
      <c r="D39" s="7">
        <f t="shared" si="2"/>
        <v>9000</v>
      </c>
      <c r="E39" s="7">
        <f t="shared" ref="E39:F39" si="41">if($D39&lt;15000,$D39*12/100,15000*12/100)</f>
        <v>1080</v>
      </c>
      <c r="F39" s="7">
        <f t="shared" si="41"/>
        <v>1080</v>
      </c>
      <c r="G39" s="7">
        <f t="shared" si="4"/>
        <v>2160</v>
      </c>
    </row>
    <row r="40">
      <c r="A40" s="8">
        <f t="shared" si="5"/>
        <v>39</v>
      </c>
      <c r="B40" s="30" t="s">
        <v>245</v>
      </c>
      <c r="C40" s="42">
        <v>15000.0</v>
      </c>
      <c r="D40" s="7">
        <f t="shared" si="2"/>
        <v>9000</v>
      </c>
      <c r="E40" s="7">
        <f t="shared" ref="E40:F40" si="42">if($D40&lt;15000,$D40*12/100,15000*12/100)</f>
        <v>1080</v>
      </c>
      <c r="F40" s="7">
        <f t="shared" si="42"/>
        <v>1080</v>
      </c>
      <c r="G40" s="7">
        <f t="shared" si="4"/>
        <v>2160</v>
      </c>
    </row>
    <row r="41">
      <c r="A41" s="8">
        <f t="shared" si="5"/>
        <v>40</v>
      </c>
      <c r="B41" s="30" t="s">
        <v>228</v>
      </c>
      <c r="C41" s="42">
        <v>15000.0</v>
      </c>
      <c r="D41" s="7">
        <f t="shared" si="2"/>
        <v>9000</v>
      </c>
      <c r="E41" s="7">
        <f t="shared" ref="E41:F41" si="43">if($D41&lt;15000,$D41*12/100,15000*12/100)</f>
        <v>1080</v>
      </c>
      <c r="F41" s="7">
        <f t="shared" si="43"/>
        <v>1080</v>
      </c>
      <c r="G41" s="7">
        <f t="shared" si="4"/>
        <v>2160</v>
      </c>
    </row>
    <row r="42">
      <c r="A42" s="8">
        <f t="shared" si="5"/>
        <v>41</v>
      </c>
      <c r="B42" s="30" t="s">
        <v>229</v>
      </c>
      <c r="C42" s="42">
        <v>23226.0</v>
      </c>
      <c r="D42" s="7">
        <f t="shared" si="2"/>
        <v>13935.6</v>
      </c>
      <c r="E42" s="7">
        <f t="shared" ref="E42:F42" si="44">if($D42&lt;15000,$D42*12/100,15000*12/100)</f>
        <v>1672.272</v>
      </c>
      <c r="F42" s="7">
        <f t="shared" si="44"/>
        <v>1672.272</v>
      </c>
      <c r="G42" s="7">
        <f t="shared" si="4"/>
        <v>3344.544</v>
      </c>
    </row>
    <row r="43">
      <c r="A43" s="8">
        <f t="shared" si="5"/>
        <v>42</v>
      </c>
      <c r="B43" s="30" t="s">
        <v>230</v>
      </c>
      <c r="C43" s="42">
        <v>19000.0</v>
      </c>
      <c r="D43" s="7">
        <f t="shared" si="2"/>
        <v>11400</v>
      </c>
      <c r="E43" s="7">
        <f t="shared" ref="E43:F43" si="45">if($D43&lt;15000,$D43*12/100,15000*12/100)</f>
        <v>1368</v>
      </c>
      <c r="F43" s="7">
        <f t="shared" si="45"/>
        <v>1368</v>
      </c>
      <c r="G43" s="7">
        <f t="shared" si="4"/>
        <v>2736</v>
      </c>
    </row>
    <row r="44">
      <c r="A44" s="8">
        <f t="shared" si="5"/>
        <v>43</v>
      </c>
      <c r="B44" s="30" t="s">
        <v>231</v>
      </c>
      <c r="C44" s="42">
        <v>25000.0</v>
      </c>
      <c r="D44" s="7">
        <f t="shared" si="2"/>
        <v>15000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30" t="s">
        <v>233</v>
      </c>
      <c r="C45" s="42">
        <v>18000.0</v>
      </c>
      <c r="D45" s="7">
        <f t="shared" si="2"/>
        <v>10800</v>
      </c>
      <c r="E45" s="7">
        <f t="shared" ref="E45:F45" si="47">if($D45&lt;15000,$D45*12/100,15000*12/100)</f>
        <v>1296</v>
      </c>
      <c r="F45" s="7">
        <f t="shared" si="47"/>
        <v>1296</v>
      </c>
      <c r="G45" s="7">
        <f t="shared" si="4"/>
        <v>2592</v>
      </c>
    </row>
    <row r="46">
      <c r="A46" s="8">
        <f t="shared" si="5"/>
        <v>45</v>
      </c>
      <c r="B46" s="30" t="s">
        <v>235</v>
      </c>
      <c r="C46" s="42">
        <v>22000.0</v>
      </c>
      <c r="D46" s="7">
        <f t="shared" si="2"/>
        <v>13200</v>
      </c>
      <c r="E46" s="7">
        <f t="shared" ref="E46:F46" si="48">if($D46&lt;15000,$D46*12/100,15000*12/100)</f>
        <v>1584</v>
      </c>
      <c r="F46" s="7">
        <f t="shared" si="48"/>
        <v>1584</v>
      </c>
      <c r="G46" s="7">
        <f t="shared" si="4"/>
        <v>3168</v>
      </c>
    </row>
    <row r="47">
      <c r="A47" s="8">
        <f t="shared" si="5"/>
        <v>46</v>
      </c>
      <c r="B47" s="30" t="s">
        <v>243</v>
      </c>
      <c r="C47" s="42">
        <v>16000.0</v>
      </c>
      <c r="D47" s="7">
        <f t="shared" si="2"/>
        <v>9600</v>
      </c>
      <c r="E47" s="7">
        <f t="shared" ref="E47:F47" si="49">if($D47&lt;15000,$D47*12/100,15000*12/100)</f>
        <v>1152</v>
      </c>
      <c r="F47" s="7">
        <f t="shared" si="49"/>
        <v>1152</v>
      </c>
      <c r="G47" s="7">
        <f t="shared" si="4"/>
        <v>2304</v>
      </c>
    </row>
    <row r="48">
      <c r="A48" s="8">
        <f t="shared" si="5"/>
        <v>47</v>
      </c>
      <c r="B48" s="30" t="s">
        <v>277</v>
      </c>
      <c r="C48" s="42">
        <v>16000.0</v>
      </c>
      <c r="D48" s="7">
        <f t="shared" si="2"/>
        <v>9600</v>
      </c>
      <c r="E48" s="7">
        <f t="shared" ref="E48:F48" si="50">if($D48&lt;15000,$D48*12/100,15000*12/100)</f>
        <v>1152</v>
      </c>
      <c r="F48" s="7">
        <f t="shared" si="50"/>
        <v>1152</v>
      </c>
      <c r="G48" s="7">
        <f t="shared" si="4"/>
        <v>2304</v>
      </c>
    </row>
    <row r="49">
      <c r="A49" s="8">
        <f t="shared" si="5"/>
        <v>48</v>
      </c>
      <c r="B49" s="30" t="s">
        <v>272</v>
      </c>
      <c r="C49" s="42">
        <v>4903.0</v>
      </c>
      <c r="D49" s="7">
        <f t="shared" si="2"/>
        <v>2941.8</v>
      </c>
      <c r="E49" s="7">
        <f t="shared" ref="E49:F49" si="51">if($D49&lt;15000,$D49*12/100,15000*12/100)</f>
        <v>353.016</v>
      </c>
      <c r="F49" s="7">
        <f t="shared" si="51"/>
        <v>353.016</v>
      </c>
      <c r="G49" s="7">
        <f t="shared" si="4"/>
        <v>706.032</v>
      </c>
    </row>
    <row r="50">
      <c r="A50" s="8">
        <f t="shared" si="5"/>
        <v>49</v>
      </c>
      <c r="B50" s="30" t="s">
        <v>236</v>
      </c>
      <c r="C50" s="42">
        <v>15935.0</v>
      </c>
      <c r="D50" s="7">
        <f t="shared" si="2"/>
        <v>9561</v>
      </c>
      <c r="E50" s="7">
        <f t="shared" ref="E50:F50" si="52">if($D50&lt;15000,$D50*12/100,15000*12/100)</f>
        <v>1147.32</v>
      </c>
      <c r="F50" s="7">
        <f t="shared" si="52"/>
        <v>1147.32</v>
      </c>
      <c r="G50" s="7">
        <f t="shared" si="4"/>
        <v>2294.64</v>
      </c>
    </row>
    <row r="51">
      <c r="A51" s="8">
        <f t="shared" si="5"/>
        <v>50</v>
      </c>
      <c r="B51" s="30" t="s">
        <v>237</v>
      </c>
      <c r="C51" s="42">
        <v>19355.0</v>
      </c>
      <c r="D51" s="7">
        <f t="shared" si="2"/>
        <v>11613</v>
      </c>
      <c r="E51" s="7">
        <f t="shared" ref="E51:F51" si="53">if($D51&lt;15000,$D51*12/100,15000*12/100)</f>
        <v>1393.56</v>
      </c>
      <c r="F51" s="7">
        <f t="shared" si="53"/>
        <v>1393.56</v>
      </c>
      <c r="G51" s="7">
        <f t="shared" si="4"/>
        <v>2787.12</v>
      </c>
    </row>
    <row r="52">
      <c r="A52" s="8">
        <f t="shared" si="5"/>
        <v>51</v>
      </c>
      <c r="B52" s="30" t="s">
        <v>238</v>
      </c>
      <c r="C52" s="42">
        <v>15000.0</v>
      </c>
      <c r="D52" s="7">
        <f t="shared" si="2"/>
        <v>9000</v>
      </c>
      <c r="E52" s="7">
        <f t="shared" ref="E52:F52" si="54">if($D52&lt;15000,$D52*12/100,15000*12/100)</f>
        <v>1080</v>
      </c>
      <c r="F52" s="7">
        <f t="shared" si="54"/>
        <v>1080</v>
      </c>
      <c r="G52" s="7">
        <f t="shared" si="4"/>
        <v>2160</v>
      </c>
    </row>
    <row r="53">
      <c r="A53" s="8">
        <f t="shared" si="5"/>
        <v>52</v>
      </c>
      <c r="B53" s="30" t="s">
        <v>239</v>
      </c>
      <c r="C53" s="42">
        <v>19000.0</v>
      </c>
      <c r="D53" s="7">
        <f t="shared" si="2"/>
        <v>11400</v>
      </c>
      <c r="E53" s="7">
        <f t="shared" ref="E53:F53" si="55">if($D53&lt;15000,$D53*12/100,15000*12/100)</f>
        <v>1368</v>
      </c>
      <c r="F53" s="7">
        <f t="shared" si="55"/>
        <v>1368</v>
      </c>
      <c r="G53" s="7">
        <f t="shared" si="4"/>
        <v>2736</v>
      </c>
    </row>
    <row r="54">
      <c r="A54" s="8">
        <f t="shared" si="5"/>
        <v>53</v>
      </c>
      <c r="B54" s="30" t="s">
        <v>240</v>
      </c>
      <c r="C54" s="42">
        <v>20000.0</v>
      </c>
      <c r="D54" s="7">
        <f t="shared" si="2"/>
        <v>12000</v>
      </c>
      <c r="E54" s="7">
        <f t="shared" ref="E54:F54" si="56">if($D54&lt;15000,$D54*12/100,15000*12/100)</f>
        <v>1440</v>
      </c>
      <c r="F54" s="7">
        <f t="shared" si="56"/>
        <v>1440</v>
      </c>
      <c r="G54" s="7">
        <f t="shared" si="4"/>
        <v>2880</v>
      </c>
    </row>
    <row r="55">
      <c r="A55" s="8">
        <f t="shared" si="5"/>
        <v>54</v>
      </c>
      <c r="B55" s="30" t="s">
        <v>274</v>
      </c>
      <c r="C55" s="42">
        <v>20000.0</v>
      </c>
      <c r="D55" s="7">
        <f t="shared" si="2"/>
        <v>12000</v>
      </c>
      <c r="E55" s="7">
        <f t="shared" ref="E55:F55" si="57">if($D55&lt;15000,$D55*12/100,15000*12/100)</f>
        <v>1440</v>
      </c>
      <c r="F55" s="7">
        <f t="shared" si="57"/>
        <v>1440</v>
      </c>
      <c r="G55" s="7">
        <f t="shared" si="4"/>
        <v>2880</v>
      </c>
    </row>
    <row r="56">
      <c r="A56" s="8">
        <f t="shared" si="5"/>
        <v>55</v>
      </c>
      <c r="B56" s="30" t="s">
        <v>242</v>
      </c>
      <c r="C56" s="42">
        <v>17000.0</v>
      </c>
      <c r="D56" s="7">
        <f t="shared" si="2"/>
        <v>10200</v>
      </c>
      <c r="E56" s="7">
        <f t="shared" ref="E56:F56" si="58">if($D56&lt;15000,$D56*12/100,15000*12/100)</f>
        <v>1224</v>
      </c>
      <c r="F56" s="7">
        <f t="shared" si="58"/>
        <v>1224</v>
      </c>
      <c r="G56" s="7">
        <f t="shared" si="4"/>
        <v>2448</v>
      </c>
    </row>
    <row r="57">
      <c r="A57" s="8">
        <f t="shared" si="5"/>
        <v>56</v>
      </c>
      <c r="B57" s="43" t="s">
        <v>246</v>
      </c>
      <c r="C57" s="42">
        <v>15000.0</v>
      </c>
      <c r="D57" s="7">
        <f t="shared" si="2"/>
        <v>9000</v>
      </c>
      <c r="E57" s="7">
        <f t="shared" ref="E57:F57" si="59">if($D57&lt;15000,$D57*12/100,15000*12/100)</f>
        <v>1080</v>
      </c>
      <c r="F57" s="7">
        <f t="shared" si="59"/>
        <v>1080</v>
      </c>
      <c r="G57" s="7">
        <f t="shared" si="4"/>
        <v>2160</v>
      </c>
    </row>
    <row r="58">
      <c r="A58" s="8">
        <f t="shared" si="5"/>
        <v>57</v>
      </c>
      <c r="B58" s="43" t="s">
        <v>37</v>
      </c>
      <c r="C58" s="42">
        <v>15000.0</v>
      </c>
      <c r="D58" s="7">
        <f t="shared" si="2"/>
        <v>9000</v>
      </c>
      <c r="E58" s="7">
        <f t="shared" ref="E58:F58" si="60">if($D58&lt;15000,$D58*12/100,15000*12/100)</f>
        <v>1080</v>
      </c>
      <c r="F58" s="7">
        <f t="shared" si="60"/>
        <v>1080</v>
      </c>
      <c r="G58" s="7">
        <f t="shared" si="4"/>
        <v>2160</v>
      </c>
    </row>
    <row r="59">
      <c r="A59" s="8">
        <f t="shared" si="5"/>
        <v>58</v>
      </c>
      <c r="B59" s="43" t="s">
        <v>247</v>
      </c>
      <c r="C59" s="42">
        <v>20000.0</v>
      </c>
      <c r="D59" s="7">
        <f t="shared" si="2"/>
        <v>12000</v>
      </c>
      <c r="E59" s="7">
        <f t="shared" ref="E59:F59" si="61">if($D59&lt;15000,$D59*12/100,15000*12/100)</f>
        <v>1440</v>
      </c>
      <c r="F59" s="7">
        <f t="shared" si="61"/>
        <v>1440</v>
      </c>
      <c r="G59" s="7">
        <f t="shared" si="4"/>
        <v>2880</v>
      </c>
    </row>
    <row r="60">
      <c r="A60" s="8">
        <f t="shared" si="5"/>
        <v>59</v>
      </c>
      <c r="B60" s="30" t="s">
        <v>273</v>
      </c>
      <c r="C60" s="42">
        <v>12000.0</v>
      </c>
      <c r="D60" s="7">
        <f t="shared" si="2"/>
        <v>7200</v>
      </c>
      <c r="E60" s="7">
        <f t="shared" ref="E60:F60" si="62">if($D60&lt;15000,$D60*12/100,15000*12/100)</f>
        <v>864</v>
      </c>
      <c r="F60" s="7">
        <f t="shared" si="62"/>
        <v>864</v>
      </c>
      <c r="G60" s="7">
        <f t="shared" si="4"/>
        <v>1728</v>
      </c>
    </row>
    <row r="61">
      <c r="A61" s="8">
        <f t="shared" si="5"/>
        <v>60</v>
      </c>
      <c r="B61" s="30" t="s">
        <v>241</v>
      </c>
      <c r="C61" s="42">
        <v>16000.0</v>
      </c>
      <c r="D61" s="7">
        <f t="shared" si="2"/>
        <v>9600</v>
      </c>
      <c r="E61" s="7">
        <f t="shared" ref="E61:F61" si="63">if($D61&lt;15000,$D61*12/100,15000*12/100)</f>
        <v>1152</v>
      </c>
      <c r="F61" s="7">
        <f t="shared" si="63"/>
        <v>1152</v>
      </c>
      <c r="G61" s="7">
        <f t="shared" si="4"/>
        <v>2304</v>
      </c>
    </row>
    <row r="62">
      <c r="A62" s="8">
        <f t="shared" si="5"/>
        <v>61</v>
      </c>
      <c r="B62" s="30" t="s">
        <v>234</v>
      </c>
      <c r="C62" s="42">
        <v>16177.0</v>
      </c>
      <c r="D62" s="7">
        <f t="shared" si="2"/>
        <v>9706.2</v>
      </c>
      <c r="E62" s="7">
        <f t="shared" ref="E62:F62" si="64">if($D62&lt;15000,$D62*12/100,15000*12/100)</f>
        <v>1164.744</v>
      </c>
      <c r="F62" s="7">
        <f t="shared" si="64"/>
        <v>1164.744</v>
      </c>
      <c r="G62" s="7">
        <f t="shared" si="4"/>
        <v>2329.488</v>
      </c>
    </row>
    <row r="63">
      <c r="A63" s="8">
        <f t="shared" si="5"/>
        <v>62</v>
      </c>
      <c r="B63" s="30" t="s">
        <v>275</v>
      </c>
      <c r="C63" s="42">
        <v>16000.0</v>
      </c>
      <c r="D63" s="7">
        <f t="shared" si="2"/>
        <v>9600</v>
      </c>
      <c r="E63" s="7">
        <f t="shared" ref="E63:F63" si="65">if($D63&lt;15000,$D63*12/100,15000*12/100)</f>
        <v>1152</v>
      </c>
      <c r="F63" s="7">
        <f t="shared" si="65"/>
        <v>1152</v>
      </c>
      <c r="G63" s="7">
        <f t="shared" si="4"/>
        <v>2304</v>
      </c>
    </row>
    <row r="64">
      <c r="A64" s="8">
        <f t="shared" si="5"/>
        <v>63</v>
      </c>
      <c r="B64" s="23" t="s">
        <v>248</v>
      </c>
      <c r="C64" s="42">
        <v>28548.0</v>
      </c>
      <c r="D64" s="7">
        <f t="shared" si="2"/>
        <v>17128.8</v>
      </c>
      <c r="E64" s="7">
        <f t="shared" ref="E64:F64" si="66">if($D64&lt;15000,$D64*12/100,15000*12/100)</f>
        <v>1800</v>
      </c>
      <c r="F64" s="7">
        <f t="shared" si="66"/>
        <v>1800</v>
      </c>
      <c r="G64" s="7">
        <f t="shared" si="4"/>
        <v>3600</v>
      </c>
    </row>
    <row r="65">
      <c r="A65" s="8">
        <f t="shared" si="5"/>
        <v>64</v>
      </c>
      <c r="B65" s="23" t="s">
        <v>96</v>
      </c>
      <c r="C65" s="42">
        <v>25000.0</v>
      </c>
      <c r="D65" s="7">
        <f t="shared" si="2"/>
        <v>15000</v>
      </c>
      <c r="E65" s="7">
        <f t="shared" ref="E65:F65" si="67">if($D65&lt;15000,$D65*12/100,15000*12/100)</f>
        <v>1800</v>
      </c>
      <c r="F65" s="7">
        <f t="shared" si="67"/>
        <v>1800</v>
      </c>
      <c r="G65" s="7">
        <f t="shared" si="4"/>
        <v>3600</v>
      </c>
    </row>
    <row r="66">
      <c r="A66" s="8">
        <f t="shared" si="5"/>
        <v>65</v>
      </c>
      <c r="B66" s="23" t="s">
        <v>249</v>
      </c>
      <c r="C66" s="42">
        <v>17000.0</v>
      </c>
      <c r="D66" s="7">
        <f t="shared" si="2"/>
        <v>10200</v>
      </c>
      <c r="E66" s="7">
        <f t="shared" ref="E66:F66" si="68">if($D66&lt;15000,$D66*12/100,15000*12/100)</f>
        <v>1224</v>
      </c>
      <c r="F66" s="7">
        <f t="shared" si="68"/>
        <v>1224</v>
      </c>
      <c r="G66" s="7">
        <f t="shared" si="4"/>
        <v>2448</v>
      </c>
    </row>
    <row r="67">
      <c r="A67" s="8">
        <f t="shared" si="5"/>
        <v>66</v>
      </c>
      <c r="B67" s="23" t="s">
        <v>250</v>
      </c>
      <c r="C67" s="42">
        <v>20000.0</v>
      </c>
      <c r="D67" s="7">
        <f t="shared" si="2"/>
        <v>12000</v>
      </c>
      <c r="E67" s="7">
        <f t="shared" ref="E67:F67" si="69">if($D67&lt;15000,$D67*12/100,15000*12/100)</f>
        <v>1440</v>
      </c>
      <c r="F67" s="7">
        <f t="shared" si="69"/>
        <v>1440</v>
      </c>
      <c r="G67" s="7">
        <f t="shared" si="4"/>
        <v>2880</v>
      </c>
    </row>
    <row r="68">
      <c r="A68" s="8">
        <f t="shared" si="5"/>
        <v>67</v>
      </c>
      <c r="B68" s="44" t="s">
        <v>251</v>
      </c>
      <c r="C68" s="42">
        <v>22000.0</v>
      </c>
      <c r="D68" s="7">
        <f t="shared" si="2"/>
        <v>13200</v>
      </c>
      <c r="E68" s="7">
        <f t="shared" ref="E68:F68" si="70">if($D68&lt;15000,$D68*12/100,15000*12/100)</f>
        <v>1584</v>
      </c>
      <c r="F68" s="7">
        <f t="shared" si="70"/>
        <v>1584</v>
      </c>
      <c r="G68" s="7">
        <f t="shared" si="4"/>
        <v>3168</v>
      </c>
    </row>
    <row r="69">
      <c r="A69" s="8">
        <f t="shared" si="5"/>
        <v>68</v>
      </c>
      <c r="B69" s="44" t="s">
        <v>278</v>
      </c>
      <c r="C69" s="42">
        <v>1355.0</v>
      </c>
      <c r="D69" s="7">
        <f t="shared" si="2"/>
        <v>813</v>
      </c>
      <c r="E69" s="7">
        <f t="shared" ref="E69:F69" si="71">if($D69&lt;15000,$D69*12/100,15000*12/100)</f>
        <v>97.56</v>
      </c>
      <c r="F69" s="7">
        <f t="shared" si="71"/>
        <v>97.56</v>
      </c>
      <c r="G69" s="7">
        <f t="shared" si="4"/>
        <v>195.12</v>
      </c>
    </row>
    <row r="70">
      <c r="A70" s="8">
        <f t="shared" si="5"/>
        <v>69</v>
      </c>
      <c r="B70" s="44" t="s">
        <v>258</v>
      </c>
      <c r="C70" s="42">
        <v>16000.0</v>
      </c>
      <c r="D70" s="7">
        <f t="shared" si="2"/>
        <v>9600</v>
      </c>
      <c r="E70" s="7">
        <f t="shared" ref="E70:F70" si="72">if($D70&lt;15000,$D70*12/100,15000*12/100)</f>
        <v>1152</v>
      </c>
      <c r="F70" s="7">
        <f t="shared" si="72"/>
        <v>1152</v>
      </c>
      <c r="G70" s="7">
        <f t="shared" si="4"/>
        <v>2304</v>
      </c>
    </row>
    <row r="71">
      <c r="A71" s="8">
        <f t="shared" si="5"/>
        <v>70</v>
      </c>
      <c r="B71" s="44" t="s">
        <v>266</v>
      </c>
      <c r="C71" s="42">
        <v>9000.0</v>
      </c>
      <c r="D71" s="7">
        <f t="shared" si="2"/>
        <v>5400</v>
      </c>
      <c r="E71" s="7">
        <f t="shared" ref="E71:F71" si="73">if($D71&lt;15000,$D71*12/100,15000*12/100)</f>
        <v>648</v>
      </c>
      <c r="F71" s="7">
        <f t="shared" si="73"/>
        <v>648</v>
      </c>
      <c r="G71" s="7">
        <f t="shared" si="4"/>
        <v>1296</v>
      </c>
    </row>
    <row r="72">
      <c r="A72" s="8">
        <f t="shared" si="5"/>
        <v>71</v>
      </c>
      <c r="B72" s="44" t="s">
        <v>267</v>
      </c>
      <c r="C72" s="42">
        <v>10000.0</v>
      </c>
      <c r="D72" s="7">
        <f t="shared" si="2"/>
        <v>6000</v>
      </c>
      <c r="E72" s="7">
        <f t="shared" ref="E72:F72" si="74">if($D72&lt;15000,$D72*12/100,15000*12/100)</f>
        <v>720</v>
      </c>
      <c r="F72" s="7">
        <f t="shared" si="74"/>
        <v>720</v>
      </c>
      <c r="G72" s="7">
        <f t="shared" si="4"/>
        <v>1440</v>
      </c>
    </row>
    <row r="73">
      <c r="A73" s="8">
        <f t="shared" si="5"/>
        <v>72</v>
      </c>
      <c r="B73" s="44" t="s">
        <v>268</v>
      </c>
      <c r="C73" s="42">
        <v>7000.0</v>
      </c>
      <c r="D73" s="7">
        <f t="shared" si="2"/>
        <v>4200</v>
      </c>
      <c r="E73" s="7">
        <f t="shared" ref="E73:F73" si="75">if($D73&lt;15000,$D73*12/100,15000*12/100)</f>
        <v>504</v>
      </c>
      <c r="F73" s="7">
        <f t="shared" si="75"/>
        <v>504</v>
      </c>
      <c r="G73" s="7">
        <f t="shared" si="4"/>
        <v>1008</v>
      </c>
    </row>
    <row r="74">
      <c r="A74" s="8">
        <f t="shared" si="5"/>
        <v>73</v>
      </c>
      <c r="B74" s="44" t="s">
        <v>269</v>
      </c>
      <c r="C74" s="42">
        <v>8000.0</v>
      </c>
      <c r="D74" s="7">
        <f t="shared" si="2"/>
        <v>4800</v>
      </c>
      <c r="E74" s="7">
        <f t="shared" ref="E74:F74" si="76">if($D74&lt;15000,$D74*12/100,15000*12/100)</f>
        <v>576</v>
      </c>
      <c r="F74" s="7">
        <f t="shared" si="76"/>
        <v>576</v>
      </c>
      <c r="G74" s="7">
        <f t="shared" si="4"/>
        <v>1152</v>
      </c>
    </row>
    <row r="75">
      <c r="A75" s="8">
        <f t="shared" si="5"/>
        <v>74</v>
      </c>
      <c r="B75" s="44" t="s">
        <v>270</v>
      </c>
      <c r="C75" s="42">
        <v>9000.0</v>
      </c>
      <c r="D75" s="7">
        <f t="shared" si="2"/>
        <v>5400</v>
      </c>
      <c r="E75" s="7">
        <f t="shared" ref="E75:F75" si="77">if($D75&lt;15000,$D75*12/100,15000*12/100)</f>
        <v>648</v>
      </c>
      <c r="F75" s="7">
        <f t="shared" si="77"/>
        <v>648</v>
      </c>
      <c r="G75" s="7">
        <f t="shared" si="4"/>
        <v>1296</v>
      </c>
    </row>
    <row r="76">
      <c r="A76" s="8">
        <f t="shared" si="5"/>
        <v>75</v>
      </c>
      <c r="B76" s="44" t="s">
        <v>271</v>
      </c>
      <c r="C76" s="42">
        <v>20000.0</v>
      </c>
      <c r="D76" s="7">
        <f t="shared" si="2"/>
        <v>12000</v>
      </c>
      <c r="E76" s="7">
        <f t="shared" ref="E76:F76" si="78">if($D76&lt;15000,$D76*12/100,15000*12/100)</f>
        <v>1440</v>
      </c>
      <c r="F76" s="7">
        <f t="shared" si="78"/>
        <v>1440</v>
      </c>
      <c r="G76" s="7">
        <f t="shared" si="4"/>
        <v>2880</v>
      </c>
    </row>
    <row r="77">
      <c r="A77" s="8">
        <f t="shared" si="5"/>
        <v>76</v>
      </c>
      <c r="B77" s="44" t="s">
        <v>255</v>
      </c>
      <c r="C77" s="45">
        <v>22629.0</v>
      </c>
      <c r="D77" s="7">
        <f t="shared" si="2"/>
        <v>13577.4</v>
      </c>
      <c r="E77" s="7">
        <f t="shared" ref="E77:F77" si="79">if($D77&lt;15000,$D77*12/100,15000*12/100)</f>
        <v>1629.288</v>
      </c>
      <c r="F77" s="7">
        <f t="shared" si="79"/>
        <v>1629.288</v>
      </c>
      <c r="G77" s="7">
        <f t="shared" si="4"/>
        <v>3258.576</v>
      </c>
    </row>
    <row r="78">
      <c r="A78" s="8">
        <f t="shared" si="5"/>
        <v>77</v>
      </c>
      <c r="B78" s="44" t="s">
        <v>32</v>
      </c>
      <c r="C78" s="45">
        <v>26000.0</v>
      </c>
      <c r="D78" s="7">
        <f t="shared" si="2"/>
        <v>15600</v>
      </c>
      <c r="E78" s="7">
        <f t="shared" ref="E78:F78" si="80">if($D78&lt;15000,$D78*12/100,15000*12/100)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4" t="s">
        <v>30</v>
      </c>
      <c r="C79" s="45">
        <v>20000.0</v>
      </c>
      <c r="D79" s="7">
        <f t="shared" si="2"/>
        <v>12000</v>
      </c>
      <c r="E79" s="7">
        <f t="shared" ref="E79:F79" si="81">if($D79&lt;15000,$D79*12/100,15000*12/100)</f>
        <v>1440</v>
      </c>
      <c r="F79" s="7">
        <f t="shared" si="81"/>
        <v>1440</v>
      </c>
      <c r="G79" s="7">
        <f t="shared" si="4"/>
        <v>2880</v>
      </c>
    </row>
    <row r="80">
      <c r="A80" s="8">
        <f t="shared" si="5"/>
        <v>79</v>
      </c>
      <c r="B80" s="44" t="s">
        <v>256</v>
      </c>
      <c r="C80" s="45">
        <v>23000.0</v>
      </c>
      <c r="D80" s="7">
        <f t="shared" si="2"/>
        <v>13800</v>
      </c>
      <c r="E80" s="7">
        <f t="shared" ref="E80:F80" si="82">if($D80&lt;15000,$D80*12/100,15000*12/100)</f>
        <v>1656</v>
      </c>
      <c r="F80" s="7">
        <f t="shared" si="82"/>
        <v>1656</v>
      </c>
      <c r="G80" s="7">
        <f t="shared" si="4"/>
        <v>3312</v>
      </c>
    </row>
    <row r="81">
      <c r="A81" s="8">
        <f t="shared" si="5"/>
        <v>80</v>
      </c>
      <c r="B81" s="44" t="s">
        <v>257</v>
      </c>
      <c r="C81" s="45">
        <v>25161.0</v>
      </c>
      <c r="D81" s="7">
        <f t="shared" si="2"/>
        <v>15096.6</v>
      </c>
      <c r="E81" s="7">
        <f t="shared" ref="E81:F81" si="83">if($D81&lt;15000,$D81*12/100,15000*12/100)</f>
        <v>1800</v>
      </c>
      <c r="F81" s="7">
        <f t="shared" si="83"/>
        <v>1800</v>
      </c>
      <c r="G81" s="7">
        <f t="shared" si="4"/>
        <v>3600</v>
      </c>
    </row>
    <row r="82">
      <c r="A82" s="8">
        <f t="shared" si="5"/>
        <v>81</v>
      </c>
      <c r="B82" s="44" t="s">
        <v>259</v>
      </c>
      <c r="C82" s="45">
        <v>20226.0</v>
      </c>
      <c r="D82" s="7">
        <f t="shared" si="2"/>
        <v>12135.6</v>
      </c>
      <c r="E82" s="7">
        <f t="shared" ref="E82:F82" si="84">if($D82&lt;15000,$D82*12/100,15000*12/100)</f>
        <v>1456.272</v>
      </c>
      <c r="F82" s="7">
        <f t="shared" si="84"/>
        <v>1456.272</v>
      </c>
      <c r="G82" s="7">
        <f t="shared" si="4"/>
        <v>2912.544</v>
      </c>
    </row>
    <row r="83">
      <c r="A83" s="8">
        <f t="shared" si="5"/>
        <v>82</v>
      </c>
      <c r="B83" s="44" t="s">
        <v>260</v>
      </c>
      <c r="C83" s="45">
        <v>14274.0</v>
      </c>
      <c r="D83" s="7">
        <f t="shared" si="2"/>
        <v>8564.4</v>
      </c>
      <c r="E83" s="7">
        <f t="shared" ref="E83:F83" si="85">if($D83&lt;15000,$D83*12/100,15000*12/100)</f>
        <v>1027.728</v>
      </c>
      <c r="F83" s="7">
        <f t="shared" si="85"/>
        <v>1027.728</v>
      </c>
      <c r="G83" s="7">
        <f t="shared" si="4"/>
        <v>2055.456</v>
      </c>
    </row>
    <row r="84">
      <c r="A84" s="8">
        <f t="shared" si="5"/>
        <v>83</v>
      </c>
      <c r="B84" s="44" t="s">
        <v>261</v>
      </c>
      <c r="C84" s="45">
        <v>15000.0</v>
      </c>
      <c r="D84" s="7">
        <f t="shared" si="2"/>
        <v>9000</v>
      </c>
      <c r="E84" s="7">
        <f t="shared" ref="E84:F84" si="86">if($D84&lt;15000,$D84*12/100,15000*12/100)</f>
        <v>1080</v>
      </c>
      <c r="F84" s="7">
        <f t="shared" si="86"/>
        <v>1080</v>
      </c>
      <c r="G84" s="7">
        <f t="shared" si="4"/>
        <v>2160</v>
      </c>
    </row>
    <row r="85">
      <c r="A85" s="8">
        <f t="shared" si="5"/>
        <v>84</v>
      </c>
      <c r="B85" s="44" t="s">
        <v>262</v>
      </c>
      <c r="C85" s="45">
        <v>13790.0</v>
      </c>
      <c r="D85" s="7">
        <f t="shared" si="2"/>
        <v>8274</v>
      </c>
      <c r="E85" s="7">
        <f t="shared" ref="E85:F85" si="87">if($D85&lt;15000,$D85*12/100,15000*12/100)</f>
        <v>992.88</v>
      </c>
      <c r="F85" s="7">
        <f t="shared" si="87"/>
        <v>992.88</v>
      </c>
      <c r="G85" s="7">
        <f t="shared" si="4"/>
        <v>1985.76</v>
      </c>
    </row>
    <row r="86">
      <c r="A86" s="8">
        <f t="shared" si="5"/>
        <v>85</v>
      </c>
      <c r="B86" s="44" t="s">
        <v>263</v>
      </c>
      <c r="C86" s="45">
        <v>15000.0</v>
      </c>
      <c r="D86" s="7">
        <f t="shared" si="2"/>
        <v>9000</v>
      </c>
      <c r="E86" s="7">
        <f t="shared" ref="E86:F86" si="88">if($D86&lt;15000,$D86*12/100,15000*12/100)</f>
        <v>1080</v>
      </c>
      <c r="F86" s="7">
        <f t="shared" si="88"/>
        <v>1080</v>
      </c>
      <c r="G86" s="7">
        <f t="shared" si="4"/>
        <v>2160</v>
      </c>
    </row>
    <row r="87">
      <c r="A87" s="9" t="s">
        <v>34</v>
      </c>
      <c r="B87" s="10"/>
      <c r="C87" s="11">
        <f t="shared" ref="C87:G87" si="89">sum(C2:C86)</f>
        <v>2046419</v>
      </c>
      <c r="D87" s="11">
        <f t="shared" si="89"/>
        <v>1227851.4</v>
      </c>
      <c r="E87" s="11">
        <f t="shared" si="89"/>
        <v>120568.608</v>
      </c>
      <c r="F87" s="11">
        <f t="shared" si="89"/>
        <v>120568.608</v>
      </c>
      <c r="G87" s="11">
        <f t="shared" si="89"/>
        <v>241137.216</v>
      </c>
    </row>
  </sheetData>
  <mergeCells count="1">
    <mergeCell ref="A87:B87"/>
  </mergeCells>
  <hyperlinks>
    <hyperlink r:id="rId1" ref="A1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6" t="s">
        <v>193</v>
      </c>
      <c r="C2" s="41">
        <v>76000.0</v>
      </c>
      <c r="D2" s="7">
        <f t="shared" ref="D2:D86" si="2">C2*60/100</f>
        <v>45600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6" si="4">E2+F2</f>
        <v>3600</v>
      </c>
    </row>
    <row r="3">
      <c r="A3" s="8">
        <f t="shared" ref="A3:A86" si="5">A2+1</f>
        <v>2</v>
      </c>
      <c r="B3" s="26" t="s">
        <v>195</v>
      </c>
      <c r="C3" s="42">
        <v>48183.0</v>
      </c>
      <c r="D3" s="7">
        <f t="shared" si="2"/>
        <v>28909.8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196</v>
      </c>
      <c r="C4" s="42">
        <v>70000.0</v>
      </c>
      <c r="D4" s="7">
        <f t="shared" si="2"/>
        <v>42000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197</v>
      </c>
      <c r="C5" s="42">
        <v>75000.0</v>
      </c>
      <c r="D5" s="7">
        <f t="shared" si="2"/>
        <v>45000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6" t="s">
        <v>198</v>
      </c>
      <c r="C6" s="42">
        <v>77000.0</v>
      </c>
      <c r="D6" s="7">
        <f t="shared" si="2"/>
        <v>46200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26" t="s">
        <v>199</v>
      </c>
      <c r="C7" s="42">
        <v>67200.0</v>
      </c>
      <c r="D7" s="7">
        <f t="shared" si="2"/>
        <v>40320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26" t="s">
        <v>200</v>
      </c>
      <c r="C8" s="42">
        <v>35000.0</v>
      </c>
      <c r="D8" s="7">
        <f t="shared" si="2"/>
        <v>21000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6" t="s">
        <v>201</v>
      </c>
      <c r="C9" s="42">
        <v>27000.0</v>
      </c>
      <c r="D9" s="7">
        <f t="shared" si="2"/>
        <v>16200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26" t="s">
        <v>202</v>
      </c>
      <c r="C10" s="42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203</v>
      </c>
      <c r="C11" s="42">
        <v>38000.0</v>
      </c>
      <c r="D11" s="7">
        <f t="shared" si="2"/>
        <v>22800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26" t="s">
        <v>204</v>
      </c>
      <c r="C12" s="42">
        <v>34000.0</v>
      </c>
      <c r="D12" s="7">
        <f t="shared" si="2"/>
        <v>20400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205</v>
      </c>
      <c r="C13" s="42">
        <v>33917.0</v>
      </c>
      <c r="D13" s="7">
        <f t="shared" si="2"/>
        <v>20350.2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206</v>
      </c>
      <c r="C14" s="42">
        <v>26550.0</v>
      </c>
      <c r="D14" s="7">
        <f t="shared" si="2"/>
        <v>15930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207</v>
      </c>
      <c r="C15" s="42">
        <v>39000.0</v>
      </c>
      <c r="D15" s="7">
        <f t="shared" si="2"/>
        <v>23400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26" t="s">
        <v>208</v>
      </c>
      <c r="C16" s="42">
        <v>32000.0</v>
      </c>
      <c r="D16" s="7">
        <f t="shared" si="2"/>
        <v>19200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209</v>
      </c>
      <c r="C17" s="42">
        <v>28000.0</v>
      </c>
      <c r="D17" s="7">
        <f t="shared" si="2"/>
        <v>16800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210</v>
      </c>
      <c r="C18" s="42">
        <v>31000.0</v>
      </c>
      <c r="D18" s="7">
        <f t="shared" si="2"/>
        <v>18600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211</v>
      </c>
      <c r="C19" s="42">
        <v>32000.0</v>
      </c>
      <c r="D19" s="7">
        <f t="shared" si="2"/>
        <v>19200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212</v>
      </c>
      <c r="C20" s="42">
        <v>26550.0</v>
      </c>
      <c r="D20" s="7">
        <f t="shared" si="2"/>
        <v>15930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213</v>
      </c>
      <c r="C21" s="42">
        <v>23600.0</v>
      </c>
      <c r="D21" s="7">
        <f t="shared" si="2"/>
        <v>14160</v>
      </c>
      <c r="E21" s="7">
        <f t="shared" ref="E21:F21" si="23">if($D21&lt;15000,$D21*12/100,15000*12/100)</f>
        <v>1699.2</v>
      </c>
      <c r="F21" s="7">
        <f t="shared" si="23"/>
        <v>1699.2</v>
      </c>
      <c r="G21" s="7">
        <f t="shared" si="4"/>
        <v>3398.4</v>
      </c>
    </row>
    <row r="22">
      <c r="A22" s="8">
        <f t="shared" si="5"/>
        <v>21</v>
      </c>
      <c r="B22" s="26" t="s">
        <v>214</v>
      </c>
      <c r="C22" s="42">
        <v>24000.0</v>
      </c>
      <c r="D22" s="7">
        <f t="shared" si="2"/>
        <v>14400</v>
      </c>
      <c r="E22" s="7">
        <f t="shared" ref="E22:F22" si="24">if($D22&lt;15000,$D22*12/100,15000*12/100)</f>
        <v>1728</v>
      </c>
      <c r="F22" s="7">
        <f t="shared" si="24"/>
        <v>1728</v>
      </c>
      <c r="G22" s="7">
        <f t="shared" si="4"/>
        <v>3456</v>
      </c>
    </row>
    <row r="23">
      <c r="A23" s="8">
        <f t="shared" si="5"/>
        <v>22</v>
      </c>
      <c r="B23" s="26" t="s">
        <v>252</v>
      </c>
      <c r="C23" s="42">
        <v>21467.0</v>
      </c>
      <c r="D23" s="7">
        <f t="shared" si="2"/>
        <v>12880.2</v>
      </c>
      <c r="E23" s="7">
        <f t="shared" ref="E23:F23" si="25">if($D23&lt;15000,$D23*12/100,15000*12/100)</f>
        <v>1545.624</v>
      </c>
      <c r="F23" s="7">
        <f t="shared" si="25"/>
        <v>1545.624</v>
      </c>
      <c r="G23" s="7">
        <f t="shared" si="4"/>
        <v>3091.248</v>
      </c>
    </row>
    <row r="24">
      <c r="A24" s="8">
        <f t="shared" si="5"/>
        <v>23</v>
      </c>
      <c r="B24" s="26" t="s">
        <v>216</v>
      </c>
      <c r="C24" s="42">
        <v>25000.0</v>
      </c>
      <c r="D24" s="7">
        <f t="shared" si="2"/>
        <v>15000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26" t="s">
        <v>227</v>
      </c>
      <c r="C25" s="42">
        <v>17000.0</v>
      </c>
      <c r="D25" s="7">
        <f t="shared" si="2"/>
        <v>10200</v>
      </c>
      <c r="E25" s="7">
        <f t="shared" ref="E25:F25" si="27">if($D25&lt;15000,$D25*12/100,15000*12/100)</f>
        <v>1224</v>
      </c>
      <c r="F25" s="7">
        <f t="shared" si="27"/>
        <v>1224</v>
      </c>
      <c r="G25" s="7">
        <f t="shared" si="4"/>
        <v>2448</v>
      </c>
    </row>
    <row r="26">
      <c r="A26" s="8">
        <f t="shared" si="5"/>
        <v>25</v>
      </c>
      <c r="B26" s="26" t="s">
        <v>223</v>
      </c>
      <c r="C26" s="42">
        <v>22617.0</v>
      </c>
      <c r="D26" s="7">
        <f t="shared" si="2"/>
        <v>13570.2</v>
      </c>
      <c r="E26" s="7">
        <f t="shared" ref="E26:F26" si="28">if($D26&lt;15000,$D26*12/100,15000*12/100)</f>
        <v>1628.424</v>
      </c>
      <c r="F26" s="7">
        <f t="shared" si="28"/>
        <v>1628.424</v>
      </c>
      <c r="G26" s="7">
        <f t="shared" si="4"/>
        <v>3256.848</v>
      </c>
    </row>
    <row r="27">
      <c r="A27" s="8">
        <f t="shared" si="5"/>
        <v>26</v>
      </c>
      <c r="B27" s="26" t="s">
        <v>86</v>
      </c>
      <c r="C27" s="42">
        <v>20367.0</v>
      </c>
      <c r="D27" s="7">
        <f t="shared" si="2"/>
        <v>12220.2</v>
      </c>
      <c r="E27" s="7">
        <f t="shared" ref="E27:F27" si="29">if($D27&lt;15000,$D27*12/100,15000*12/100)</f>
        <v>1466.424</v>
      </c>
      <c r="F27" s="7">
        <f t="shared" si="29"/>
        <v>1466.424</v>
      </c>
      <c r="G27" s="7">
        <f t="shared" si="4"/>
        <v>2932.848</v>
      </c>
    </row>
    <row r="28">
      <c r="A28" s="8">
        <f t="shared" si="5"/>
        <v>27</v>
      </c>
      <c r="B28" s="26" t="s">
        <v>224</v>
      </c>
      <c r="C28" s="42">
        <v>25000.0</v>
      </c>
      <c r="D28" s="7">
        <f t="shared" si="2"/>
        <v>15000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</row>
    <row r="29">
      <c r="A29" s="8">
        <f t="shared" si="5"/>
        <v>28</v>
      </c>
      <c r="B29" s="26" t="s">
        <v>222</v>
      </c>
      <c r="C29" s="42">
        <v>25000.0</v>
      </c>
      <c r="D29" s="7">
        <f t="shared" si="2"/>
        <v>15000</v>
      </c>
      <c r="E29" s="7">
        <f t="shared" ref="E29:F29" si="31">if($D29&lt;15000,$D29*12/100,15000*12/100)</f>
        <v>1800</v>
      </c>
      <c r="F29" s="7">
        <f t="shared" si="31"/>
        <v>1800</v>
      </c>
      <c r="G29" s="7">
        <f t="shared" si="4"/>
        <v>3600</v>
      </c>
    </row>
    <row r="30">
      <c r="A30" s="8">
        <f t="shared" si="5"/>
        <v>29</v>
      </c>
      <c r="B30" s="26" t="s">
        <v>265</v>
      </c>
      <c r="C30" s="42">
        <v>21000.0</v>
      </c>
      <c r="D30" s="7">
        <f t="shared" si="2"/>
        <v>12600</v>
      </c>
      <c r="E30" s="7">
        <f t="shared" ref="E30:F30" si="32">if($D30&lt;15000,$D30*12/100,15000*12/100)</f>
        <v>1512</v>
      </c>
      <c r="F30" s="7">
        <f t="shared" si="32"/>
        <v>1512</v>
      </c>
      <c r="G30" s="7">
        <f t="shared" si="4"/>
        <v>3024</v>
      </c>
    </row>
    <row r="31">
      <c r="A31" s="8">
        <f t="shared" si="5"/>
        <v>30</v>
      </c>
      <c r="B31" s="26" t="s">
        <v>219</v>
      </c>
      <c r="C31" s="42">
        <v>19000.0</v>
      </c>
      <c r="D31" s="7">
        <f t="shared" si="2"/>
        <v>11400</v>
      </c>
      <c r="E31" s="7">
        <f t="shared" ref="E31:F31" si="33">if($D31&lt;15000,$D31*12/100,15000*12/100)</f>
        <v>1368</v>
      </c>
      <c r="F31" s="7">
        <f t="shared" si="33"/>
        <v>1368</v>
      </c>
      <c r="G31" s="7">
        <f t="shared" si="4"/>
        <v>2736</v>
      </c>
    </row>
    <row r="32">
      <c r="A32" s="8">
        <f t="shared" si="5"/>
        <v>31</v>
      </c>
      <c r="B32" s="26" t="s">
        <v>221</v>
      </c>
      <c r="C32" s="42">
        <v>23600.0</v>
      </c>
      <c r="D32" s="7">
        <f t="shared" si="2"/>
        <v>14160</v>
      </c>
      <c r="E32" s="7">
        <f t="shared" ref="E32:F32" si="34">if($D32&lt;15000,$D32*12/100,15000*12/100)</f>
        <v>1699.2</v>
      </c>
      <c r="F32" s="7">
        <f t="shared" si="34"/>
        <v>1699.2</v>
      </c>
      <c r="G32" s="7">
        <f t="shared" si="4"/>
        <v>3398.4</v>
      </c>
    </row>
    <row r="33">
      <c r="A33" s="8">
        <f t="shared" si="5"/>
        <v>32</v>
      </c>
      <c r="B33" s="26" t="s">
        <v>220</v>
      </c>
      <c r="C33" s="42">
        <v>25200.0</v>
      </c>
      <c r="D33" s="7">
        <f t="shared" si="2"/>
        <v>15120</v>
      </c>
      <c r="E33" s="7">
        <f t="shared" ref="E33:F33" si="35">if($D33&lt;15000,$D33*12/100,15000*12/100)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26" t="s">
        <v>217</v>
      </c>
      <c r="C34" s="42">
        <v>21267.0</v>
      </c>
      <c r="D34" s="7">
        <f t="shared" si="2"/>
        <v>12760.2</v>
      </c>
      <c r="E34" s="7">
        <f t="shared" ref="E34:F34" si="36">if($D34&lt;15000,$D34*12/100,15000*12/100)</f>
        <v>1531.224</v>
      </c>
      <c r="F34" s="7">
        <f t="shared" si="36"/>
        <v>1531.224</v>
      </c>
      <c r="G34" s="7">
        <f t="shared" si="4"/>
        <v>3062.448</v>
      </c>
    </row>
    <row r="35">
      <c r="A35" s="8">
        <f t="shared" si="5"/>
        <v>34</v>
      </c>
      <c r="B35" s="26" t="s">
        <v>218</v>
      </c>
      <c r="C35" s="42">
        <v>24000.0</v>
      </c>
      <c r="D35" s="7">
        <f t="shared" si="2"/>
        <v>14400</v>
      </c>
      <c r="E35" s="7">
        <f t="shared" ref="E35:F35" si="37">if($D35&lt;15000,$D35*12/100,15000*12/100)</f>
        <v>1728</v>
      </c>
      <c r="F35" s="7">
        <f t="shared" si="37"/>
        <v>1728</v>
      </c>
      <c r="G35" s="7">
        <f t="shared" si="4"/>
        <v>3456</v>
      </c>
    </row>
    <row r="36">
      <c r="A36" s="8">
        <f t="shared" si="5"/>
        <v>35</v>
      </c>
      <c r="B36" s="26" t="s">
        <v>226</v>
      </c>
      <c r="C36" s="42">
        <v>16433.0</v>
      </c>
      <c r="D36" s="7">
        <f t="shared" si="2"/>
        <v>9859.8</v>
      </c>
      <c r="E36" s="7">
        <f t="shared" ref="E36:F36" si="38">if($D36&lt;15000,$D36*12/100,15000*12/100)</f>
        <v>1183.176</v>
      </c>
      <c r="F36" s="7">
        <f t="shared" si="38"/>
        <v>1183.176</v>
      </c>
      <c r="G36" s="7">
        <f t="shared" si="4"/>
        <v>2366.352</v>
      </c>
    </row>
    <row r="37">
      <c r="A37" s="8">
        <f t="shared" si="5"/>
        <v>36</v>
      </c>
      <c r="B37" s="26" t="s">
        <v>253</v>
      </c>
      <c r="C37" s="42">
        <v>13000.0</v>
      </c>
      <c r="D37" s="7">
        <f t="shared" si="2"/>
        <v>7800</v>
      </c>
      <c r="E37" s="7">
        <f t="shared" ref="E37:F37" si="39">if($D37&lt;15000,$D37*12/100,15000*12/100)</f>
        <v>936</v>
      </c>
      <c r="F37" s="7">
        <f t="shared" si="39"/>
        <v>936</v>
      </c>
      <c r="G37" s="7">
        <f t="shared" si="4"/>
        <v>1872</v>
      </c>
    </row>
    <row r="38">
      <c r="A38" s="8">
        <f t="shared" si="5"/>
        <v>37</v>
      </c>
      <c r="B38" s="30" t="s">
        <v>244</v>
      </c>
      <c r="C38" s="42">
        <v>14500.0</v>
      </c>
      <c r="D38" s="7">
        <f t="shared" si="2"/>
        <v>8700</v>
      </c>
      <c r="E38" s="7">
        <f t="shared" ref="E38:F38" si="40">if($D38&lt;15000,$D38*12/100,15000*12/100)</f>
        <v>1044</v>
      </c>
      <c r="F38" s="7">
        <f t="shared" si="40"/>
        <v>1044</v>
      </c>
      <c r="G38" s="7">
        <f t="shared" si="4"/>
        <v>2088</v>
      </c>
    </row>
    <row r="39">
      <c r="A39" s="8">
        <f t="shared" si="5"/>
        <v>38</v>
      </c>
      <c r="B39" s="30" t="s">
        <v>245</v>
      </c>
      <c r="C39" s="42">
        <v>15000.0</v>
      </c>
      <c r="D39" s="7">
        <f t="shared" si="2"/>
        <v>9000</v>
      </c>
      <c r="E39" s="7">
        <f t="shared" ref="E39:F39" si="41">if($D39&lt;15000,$D39*12/100,15000*12/100)</f>
        <v>1080</v>
      </c>
      <c r="F39" s="7">
        <f t="shared" si="41"/>
        <v>1080</v>
      </c>
      <c r="G39" s="7">
        <f t="shared" si="4"/>
        <v>2160</v>
      </c>
    </row>
    <row r="40">
      <c r="A40" s="8">
        <f t="shared" si="5"/>
        <v>39</v>
      </c>
      <c r="B40" s="30" t="s">
        <v>228</v>
      </c>
      <c r="C40" s="42">
        <v>15000.0</v>
      </c>
      <c r="D40" s="7">
        <f t="shared" si="2"/>
        <v>9000</v>
      </c>
      <c r="E40" s="7">
        <f t="shared" ref="E40:F40" si="42">if($D40&lt;15000,$D40*12/100,15000*12/100)</f>
        <v>1080</v>
      </c>
      <c r="F40" s="7">
        <f t="shared" si="42"/>
        <v>1080</v>
      </c>
      <c r="G40" s="7">
        <f t="shared" si="4"/>
        <v>2160</v>
      </c>
    </row>
    <row r="41">
      <c r="A41" s="8">
        <f t="shared" si="5"/>
        <v>40</v>
      </c>
      <c r="B41" s="30" t="s">
        <v>229</v>
      </c>
      <c r="C41" s="42">
        <v>22000.0</v>
      </c>
      <c r="D41" s="7">
        <f t="shared" si="2"/>
        <v>13200</v>
      </c>
      <c r="E41" s="7">
        <f t="shared" ref="E41:F41" si="43">if($D41&lt;15000,$D41*12/100,15000*12/100)</f>
        <v>1584</v>
      </c>
      <c r="F41" s="7">
        <f t="shared" si="43"/>
        <v>1584</v>
      </c>
      <c r="G41" s="7">
        <f t="shared" si="4"/>
        <v>3168</v>
      </c>
    </row>
    <row r="42">
      <c r="A42" s="8">
        <f t="shared" si="5"/>
        <v>41</v>
      </c>
      <c r="B42" s="30" t="s">
        <v>230</v>
      </c>
      <c r="C42" s="42">
        <v>19000.0</v>
      </c>
      <c r="D42" s="7">
        <f t="shared" si="2"/>
        <v>11400</v>
      </c>
      <c r="E42" s="7">
        <f t="shared" ref="E42:F42" si="44">if($D42&lt;15000,$D42*12/100,15000*12/100)</f>
        <v>1368</v>
      </c>
      <c r="F42" s="7">
        <f t="shared" si="44"/>
        <v>1368</v>
      </c>
      <c r="G42" s="7">
        <f t="shared" si="4"/>
        <v>2736</v>
      </c>
    </row>
    <row r="43">
      <c r="A43" s="8">
        <f t="shared" si="5"/>
        <v>42</v>
      </c>
      <c r="B43" s="30" t="s">
        <v>231</v>
      </c>
      <c r="C43" s="42">
        <v>25000.0</v>
      </c>
      <c r="D43" s="7">
        <f t="shared" si="2"/>
        <v>15000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</row>
    <row r="44">
      <c r="A44" s="8">
        <f t="shared" si="5"/>
        <v>43</v>
      </c>
      <c r="B44" s="30" t="s">
        <v>233</v>
      </c>
      <c r="C44" s="42">
        <v>17100.0</v>
      </c>
      <c r="D44" s="7">
        <f t="shared" si="2"/>
        <v>10260</v>
      </c>
      <c r="E44" s="7">
        <f t="shared" ref="E44:F44" si="46">if($D44&lt;15000,$D44*12/100,15000*12/100)</f>
        <v>1231.2</v>
      </c>
      <c r="F44" s="7">
        <f t="shared" si="46"/>
        <v>1231.2</v>
      </c>
      <c r="G44" s="7">
        <f t="shared" si="4"/>
        <v>2462.4</v>
      </c>
    </row>
    <row r="45">
      <c r="A45" s="8">
        <f t="shared" si="5"/>
        <v>44</v>
      </c>
      <c r="B45" s="30" t="s">
        <v>235</v>
      </c>
      <c r="C45" s="42">
        <v>22000.0</v>
      </c>
      <c r="D45" s="7">
        <f t="shared" si="2"/>
        <v>13200</v>
      </c>
      <c r="E45" s="7">
        <f t="shared" ref="E45:F45" si="47">if($D45&lt;15000,$D45*12/100,15000*12/100)</f>
        <v>1584</v>
      </c>
      <c r="F45" s="7">
        <f t="shared" si="47"/>
        <v>1584</v>
      </c>
      <c r="G45" s="7">
        <f t="shared" si="4"/>
        <v>3168</v>
      </c>
    </row>
    <row r="46">
      <c r="A46" s="8">
        <f t="shared" si="5"/>
        <v>45</v>
      </c>
      <c r="B46" s="30" t="s">
        <v>243</v>
      </c>
      <c r="C46" s="42">
        <v>16000.0</v>
      </c>
      <c r="D46" s="7">
        <f t="shared" si="2"/>
        <v>9600</v>
      </c>
      <c r="E46" s="7">
        <f t="shared" ref="E46:F46" si="48">if($D46&lt;15000,$D46*12/100,15000*12/100)</f>
        <v>1152</v>
      </c>
      <c r="F46" s="7">
        <f t="shared" si="48"/>
        <v>1152</v>
      </c>
      <c r="G46" s="7">
        <f t="shared" si="4"/>
        <v>2304</v>
      </c>
    </row>
    <row r="47">
      <c r="A47" s="8">
        <f t="shared" si="5"/>
        <v>46</v>
      </c>
      <c r="B47" s="30" t="s">
        <v>277</v>
      </c>
      <c r="C47" s="42">
        <v>16000.0</v>
      </c>
      <c r="D47" s="7">
        <f t="shared" si="2"/>
        <v>9600</v>
      </c>
      <c r="E47" s="7">
        <f t="shared" ref="E47:F47" si="49">if($D47&lt;15000,$D47*12/100,15000*12/100)</f>
        <v>1152</v>
      </c>
      <c r="F47" s="7">
        <f t="shared" si="49"/>
        <v>1152</v>
      </c>
      <c r="G47" s="7">
        <f t="shared" si="4"/>
        <v>2304</v>
      </c>
    </row>
    <row r="48">
      <c r="A48" s="8">
        <f t="shared" si="5"/>
        <v>47</v>
      </c>
      <c r="B48" s="30" t="s">
        <v>236</v>
      </c>
      <c r="C48" s="42">
        <v>18683.0</v>
      </c>
      <c r="D48" s="7">
        <f t="shared" si="2"/>
        <v>11209.8</v>
      </c>
      <c r="E48" s="7">
        <f t="shared" ref="E48:F48" si="50">if($D48&lt;15000,$D48*12/100,15000*12/100)</f>
        <v>1345.176</v>
      </c>
      <c r="F48" s="7">
        <f t="shared" si="50"/>
        <v>1345.176</v>
      </c>
      <c r="G48" s="7">
        <f t="shared" si="4"/>
        <v>2690.352</v>
      </c>
    </row>
    <row r="49">
      <c r="A49" s="8">
        <f t="shared" si="5"/>
        <v>48</v>
      </c>
      <c r="B49" s="30" t="s">
        <v>237</v>
      </c>
      <c r="C49" s="42">
        <v>20000.0</v>
      </c>
      <c r="D49" s="7">
        <f t="shared" si="2"/>
        <v>12000</v>
      </c>
      <c r="E49" s="7">
        <f t="shared" ref="E49:F49" si="51">if($D49&lt;15000,$D49*12/100,15000*12/100)</f>
        <v>1440</v>
      </c>
      <c r="F49" s="7">
        <f t="shared" si="51"/>
        <v>1440</v>
      </c>
      <c r="G49" s="7">
        <f t="shared" si="4"/>
        <v>2880</v>
      </c>
    </row>
    <row r="50">
      <c r="A50" s="8">
        <f t="shared" si="5"/>
        <v>49</v>
      </c>
      <c r="B50" s="30" t="s">
        <v>238</v>
      </c>
      <c r="C50" s="42">
        <v>15000.0</v>
      </c>
      <c r="D50" s="7">
        <f t="shared" si="2"/>
        <v>9000</v>
      </c>
      <c r="E50" s="7">
        <f t="shared" ref="E50:F50" si="52">if($D50&lt;15000,$D50*12/100,15000*12/100)</f>
        <v>1080</v>
      </c>
      <c r="F50" s="7">
        <f t="shared" si="52"/>
        <v>1080</v>
      </c>
      <c r="G50" s="7">
        <f t="shared" si="4"/>
        <v>2160</v>
      </c>
    </row>
    <row r="51">
      <c r="A51" s="8">
        <f t="shared" si="5"/>
        <v>50</v>
      </c>
      <c r="B51" s="30" t="s">
        <v>239</v>
      </c>
      <c r="C51" s="42">
        <v>19000.0</v>
      </c>
      <c r="D51" s="7">
        <f t="shared" si="2"/>
        <v>11400</v>
      </c>
      <c r="E51" s="7">
        <f t="shared" ref="E51:F51" si="53">if($D51&lt;15000,$D51*12/100,15000*12/100)</f>
        <v>1368</v>
      </c>
      <c r="F51" s="7">
        <f t="shared" si="53"/>
        <v>1368</v>
      </c>
      <c r="G51" s="7">
        <f t="shared" si="4"/>
        <v>2736</v>
      </c>
    </row>
    <row r="52">
      <c r="A52" s="8">
        <f t="shared" si="5"/>
        <v>51</v>
      </c>
      <c r="B52" s="30" t="s">
        <v>240</v>
      </c>
      <c r="C52" s="42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30" t="s">
        <v>274</v>
      </c>
      <c r="C53" s="42">
        <v>20000.0</v>
      </c>
      <c r="D53" s="7">
        <f t="shared" si="2"/>
        <v>12000</v>
      </c>
      <c r="E53" s="7">
        <f t="shared" ref="E53:F53" si="55">if($D53&lt;15000,$D53*12/100,15000*12/100)</f>
        <v>1440</v>
      </c>
      <c r="F53" s="7">
        <f t="shared" si="55"/>
        <v>1440</v>
      </c>
      <c r="G53" s="7">
        <f t="shared" si="4"/>
        <v>2880</v>
      </c>
    </row>
    <row r="54">
      <c r="A54" s="8">
        <f t="shared" si="5"/>
        <v>53</v>
      </c>
      <c r="B54" s="30" t="s">
        <v>242</v>
      </c>
      <c r="C54" s="42">
        <v>16717.0</v>
      </c>
      <c r="D54" s="7">
        <f t="shared" si="2"/>
        <v>10030.2</v>
      </c>
      <c r="E54" s="7">
        <f t="shared" ref="E54:F54" si="56">if($D54&lt;15000,$D54*12/100,15000*12/100)</f>
        <v>1203.624</v>
      </c>
      <c r="F54" s="7">
        <f t="shared" si="56"/>
        <v>1203.624</v>
      </c>
      <c r="G54" s="7">
        <f t="shared" si="4"/>
        <v>2407.248</v>
      </c>
    </row>
    <row r="55">
      <c r="A55" s="8">
        <f t="shared" si="5"/>
        <v>54</v>
      </c>
      <c r="B55" s="40" t="s">
        <v>246</v>
      </c>
      <c r="C55" s="42">
        <v>15000.0</v>
      </c>
      <c r="D55" s="7">
        <f t="shared" si="2"/>
        <v>9000</v>
      </c>
      <c r="E55" s="7">
        <f t="shared" ref="E55:F55" si="57">if($D55&lt;15000,$D55*12/100,15000*12/100)</f>
        <v>1080</v>
      </c>
      <c r="F55" s="7">
        <f t="shared" si="57"/>
        <v>1080</v>
      </c>
      <c r="G55" s="7">
        <f t="shared" si="4"/>
        <v>2160</v>
      </c>
    </row>
    <row r="56">
      <c r="A56" s="8">
        <f t="shared" si="5"/>
        <v>55</v>
      </c>
      <c r="B56" s="40" t="s">
        <v>37</v>
      </c>
      <c r="C56" s="42">
        <v>15000.0</v>
      </c>
      <c r="D56" s="7">
        <f t="shared" si="2"/>
        <v>9000</v>
      </c>
      <c r="E56" s="7">
        <f t="shared" ref="E56:F56" si="58">if($D56&lt;15000,$D56*12/100,15000*12/100)</f>
        <v>1080</v>
      </c>
      <c r="F56" s="7">
        <f t="shared" si="58"/>
        <v>1080</v>
      </c>
      <c r="G56" s="7">
        <f t="shared" si="4"/>
        <v>2160</v>
      </c>
    </row>
    <row r="57">
      <c r="A57" s="8">
        <f t="shared" si="5"/>
        <v>56</v>
      </c>
      <c r="B57" s="40" t="s">
        <v>247</v>
      </c>
      <c r="C57" s="42">
        <v>19667.0</v>
      </c>
      <c r="D57" s="7">
        <f t="shared" si="2"/>
        <v>11800.2</v>
      </c>
      <c r="E57" s="7">
        <f t="shared" ref="E57:F57" si="59">if($D57&lt;15000,$D57*12/100,15000*12/100)</f>
        <v>1416.024</v>
      </c>
      <c r="F57" s="7">
        <f t="shared" si="59"/>
        <v>1416.024</v>
      </c>
      <c r="G57" s="7">
        <f t="shared" si="4"/>
        <v>2832.048</v>
      </c>
    </row>
    <row r="58">
      <c r="A58" s="8">
        <f t="shared" si="5"/>
        <v>57</v>
      </c>
      <c r="B58" s="30" t="s">
        <v>273</v>
      </c>
      <c r="C58" s="42">
        <v>10000.0</v>
      </c>
      <c r="D58" s="7">
        <f t="shared" si="2"/>
        <v>6000</v>
      </c>
      <c r="E58" s="7">
        <f t="shared" ref="E58:F58" si="60">if($D58&lt;15000,$D58*12/100,15000*12/100)</f>
        <v>720</v>
      </c>
      <c r="F58" s="7">
        <f t="shared" si="60"/>
        <v>720</v>
      </c>
      <c r="G58" s="7">
        <f t="shared" si="4"/>
        <v>1440</v>
      </c>
    </row>
    <row r="59">
      <c r="A59" s="8">
        <f t="shared" si="5"/>
        <v>58</v>
      </c>
      <c r="B59" s="30" t="s">
        <v>241</v>
      </c>
      <c r="C59" s="42">
        <v>13333.0</v>
      </c>
      <c r="D59" s="7">
        <f t="shared" si="2"/>
        <v>7999.8</v>
      </c>
      <c r="E59" s="7">
        <f t="shared" ref="E59:F59" si="61">if($D59&lt;15000,$D59*12/100,15000*12/100)</f>
        <v>959.976</v>
      </c>
      <c r="F59" s="7">
        <f t="shared" si="61"/>
        <v>959.976</v>
      </c>
      <c r="G59" s="7">
        <f t="shared" si="4"/>
        <v>1919.952</v>
      </c>
    </row>
    <row r="60">
      <c r="A60" s="8">
        <f t="shared" si="5"/>
        <v>59</v>
      </c>
      <c r="B60" s="30" t="s">
        <v>234</v>
      </c>
      <c r="C60" s="42">
        <v>19000.0</v>
      </c>
      <c r="D60" s="7">
        <f t="shared" si="2"/>
        <v>11400</v>
      </c>
      <c r="E60" s="7">
        <f t="shared" ref="E60:F60" si="62">if($D60&lt;15000,$D60*12/100,15000*12/100)</f>
        <v>1368</v>
      </c>
      <c r="F60" s="7">
        <f t="shared" si="62"/>
        <v>1368</v>
      </c>
      <c r="G60" s="7">
        <f t="shared" si="4"/>
        <v>2736</v>
      </c>
    </row>
    <row r="61">
      <c r="A61" s="8">
        <f t="shared" si="5"/>
        <v>60</v>
      </c>
      <c r="B61" s="30" t="s">
        <v>275</v>
      </c>
      <c r="C61" s="42">
        <v>15467.0</v>
      </c>
      <c r="D61" s="7">
        <f t="shared" si="2"/>
        <v>9280.2</v>
      </c>
      <c r="E61" s="7">
        <f t="shared" ref="E61:F61" si="63">if($D61&lt;15000,$D61*12/100,15000*12/100)</f>
        <v>1113.624</v>
      </c>
      <c r="F61" s="7">
        <f t="shared" si="63"/>
        <v>1113.624</v>
      </c>
      <c r="G61" s="7">
        <f t="shared" si="4"/>
        <v>2227.248</v>
      </c>
    </row>
    <row r="62">
      <c r="A62" s="8">
        <f t="shared" si="5"/>
        <v>61</v>
      </c>
      <c r="B62" s="23" t="s">
        <v>248</v>
      </c>
      <c r="C62" s="42">
        <v>29000.0</v>
      </c>
      <c r="D62" s="7">
        <f t="shared" si="2"/>
        <v>17400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23" t="s">
        <v>96</v>
      </c>
      <c r="C63" s="42">
        <v>25000.0</v>
      </c>
      <c r="D63" s="7">
        <f t="shared" si="2"/>
        <v>15000</v>
      </c>
      <c r="E63" s="7">
        <f t="shared" ref="E63:F63" si="65">if($D63&lt;15000,$D63*12/100,15000*12/100)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23" t="s">
        <v>249</v>
      </c>
      <c r="C64" s="42">
        <v>16433.0</v>
      </c>
      <c r="D64" s="7">
        <f t="shared" si="2"/>
        <v>9859.8</v>
      </c>
      <c r="E64" s="7">
        <f t="shared" ref="E64:F64" si="66">if($D64&lt;15000,$D64*12/100,15000*12/100)</f>
        <v>1183.176</v>
      </c>
      <c r="F64" s="7">
        <f t="shared" si="66"/>
        <v>1183.176</v>
      </c>
      <c r="G64" s="7">
        <f t="shared" si="4"/>
        <v>2366.352</v>
      </c>
    </row>
    <row r="65">
      <c r="A65" s="8">
        <f t="shared" si="5"/>
        <v>64</v>
      </c>
      <c r="B65" s="23" t="s">
        <v>250</v>
      </c>
      <c r="C65" s="42">
        <v>21267.0</v>
      </c>
      <c r="D65" s="7">
        <f t="shared" si="2"/>
        <v>12760.2</v>
      </c>
      <c r="E65" s="7">
        <f t="shared" ref="E65:F65" si="67">if($D65&lt;15000,$D65*12/100,15000*12/100)</f>
        <v>1531.224</v>
      </c>
      <c r="F65" s="7">
        <f t="shared" si="67"/>
        <v>1531.224</v>
      </c>
      <c r="G65" s="7">
        <f t="shared" si="4"/>
        <v>3062.448</v>
      </c>
    </row>
    <row r="66">
      <c r="A66" s="8">
        <f t="shared" si="5"/>
        <v>65</v>
      </c>
      <c r="B66" s="44" t="s">
        <v>251</v>
      </c>
      <c r="C66" s="42">
        <v>22000.0</v>
      </c>
      <c r="D66" s="7">
        <f t="shared" si="2"/>
        <v>13200</v>
      </c>
      <c r="E66" s="7">
        <f t="shared" ref="E66:F66" si="68">if($D66&lt;15000,$D66*12/100,15000*12/100)</f>
        <v>1584</v>
      </c>
      <c r="F66" s="7">
        <f t="shared" si="68"/>
        <v>1584</v>
      </c>
      <c r="G66" s="7">
        <f t="shared" si="4"/>
        <v>3168</v>
      </c>
    </row>
    <row r="67">
      <c r="A67" s="8">
        <f t="shared" si="5"/>
        <v>66</v>
      </c>
      <c r="B67" s="40" t="s">
        <v>279</v>
      </c>
      <c r="C67" s="42">
        <v>15200.0</v>
      </c>
      <c r="D67" s="7">
        <f t="shared" si="2"/>
        <v>9120</v>
      </c>
      <c r="E67" s="7">
        <f t="shared" ref="E67:F67" si="69">if($D67&lt;15000,$D67*12/100,15000*12/100)</f>
        <v>1094.4</v>
      </c>
      <c r="F67" s="7">
        <f t="shared" si="69"/>
        <v>1094.4</v>
      </c>
      <c r="G67" s="7">
        <f t="shared" si="4"/>
        <v>2188.8</v>
      </c>
    </row>
    <row r="68">
      <c r="A68" s="8">
        <f t="shared" si="5"/>
        <v>67</v>
      </c>
      <c r="B68" s="40" t="s">
        <v>280</v>
      </c>
      <c r="C68" s="42">
        <v>9633.0</v>
      </c>
      <c r="D68" s="7">
        <f t="shared" si="2"/>
        <v>5779.8</v>
      </c>
      <c r="E68" s="7">
        <f t="shared" ref="E68:F68" si="70">if($D68&lt;15000,$D68*12/100,15000*12/100)</f>
        <v>693.576</v>
      </c>
      <c r="F68" s="7">
        <f t="shared" si="70"/>
        <v>693.576</v>
      </c>
      <c r="G68" s="7">
        <f t="shared" si="4"/>
        <v>1387.152</v>
      </c>
    </row>
    <row r="69">
      <c r="A69" s="8">
        <f t="shared" si="5"/>
        <v>68</v>
      </c>
      <c r="B69" s="40" t="s">
        <v>281</v>
      </c>
      <c r="C69" s="42">
        <v>5500.0</v>
      </c>
      <c r="D69" s="7">
        <f t="shared" si="2"/>
        <v>3300</v>
      </c>
      <c r="E69" s="7">
        <f t="shared" ref="E69:F69" si="71">if($D69&lt;15000,$D69*12/100,15000*12/100)</f>
        <v>396</v>
      </c>
      <c r="F69" s="7">
        <f t="shared" si="71"/>
        <v>396</v>
      </c>
      <c r="G69" s="7">
        <f t="shared" si="4"/>
        <v>792</v>
      </c>
    </row>
    <row r="70">
      <c r="A70" s="8">
        <f t="shared" si="5"/>
        <v>69</v>
      </c>
      <c r="B70" s="44" t="s">
        <v>278</v>
      </c>
      <c r="C70" s="42">
        <v>19600.0</v>
      </c>
      <c r="D70" s="7">
        <f t="shared" si="2"/>
        <v>11760</v>
      </c>
      <c r="E70" s="7">
        <f t="shared" ref="E70:F70" si="72">if($D70&lt;15000,$D70*12/100,15000*12/100)</f>
        <v>1411.2</v>
      </c>
      <c r="F70" s="7">
        <f t="shared" si="72"/>
        <v>1411.2</v>
      </c>
      <c r="G70" s="7">
        <f t="shared" si="4"/>
        <v>2822.4</v>
      </c>
    </row>
    <row r="71">
      <c r="A71" s="8">
        <f t="shared" si="5"/>
        <v>70</v>
      </c>
      <c r="B71" s="44" t="s">
        <v>258</v>
      </c>
      <c r="C71" s="42">
        <v>11200.0</v>
      </c>
      <c r="D71" s="7">
        <f t="shared" si="2"/>
        <v>6720</v>
      </c>
      <c r="E71" s="7">
        <f t="shared" ref="E71:F71" si="73">if($D71&lt;15000,$D71*12/100,15000*12/100)</f>
        <v>806.4</v>
      </c>
      <c r="F71" s="7">
        <f t="shared" si="73"/>
        <v>806.4</v>
      </c>
      <c r="G71" s="7">
        <f t="shared" si="4"/>
        <v>1612.8</v>
      </c>
    </row>
    <row r="72">
      <c r="A72" s="8">
        <f t="shared" si="5"/>
        <v>71</v>
      </c>
      <c r="B72" s="30" t="s">
        <v>282</v>
      </c>
      <c r="C72" s="42">
        <v>9000.0</v>
      </c>
      <c r="D72" s="7">
        <f t="shared" si="2"/>
        <v>5400</v>
      </c>
      <c r="E72" s="7">
        <f t="shared" ref="E72:F72" si="74">if($D72&lt;15000,$D72*12/100,15000*12/100)</f>
        <v>648</v>
      </c>
      <c r="F72" s="7">
        <f t="shared" si="74"/>
        <v>648</v>
      </c>
      <c r="G72" s="7">
        <f t="shared" si="4"/>
        <v>1296</v>
      </c>
    </row>
    <row r="73">
      <c r="A73" s="8">
        <f t="shared" si="5"/>
        <v>72</v>
      </c>
      <c r="B73" s="30" t="s">
        <v>283</v>
      </c>
      <c r="C73" s="42">
        <v>10000.0</v>
      </c>
      <c r="D73" s="7">
        <f t="shared" si="2"/>
        <v>6000</v>
      </c>
      <c r="E73" s="7">
        <f t="shared" ref="E73:F73" si="75">if($D73&lt;15000,$D73*12/100,15000*12/100)</f>
        <v>720</v>
      </c>
      <c r="F73" s="7">
        <f t="shared" si="75"/>
        <v>720</v>
      </c>
      <c r="G73" s="7">
        <f t="shared" si="4"/>
        <v>1440</v>
      </c>
    </row>
    <row r="74">
      <c r="A74" s="8">
        <f t="shared" si="5"/>
        <v>73</v>
      </c>
      <c r="B74" s="30" t="s">
        <v>268</v>
      </c>
      <c r="C74" s="42">
        <v>7000.0</v>
      </c>
      <c r="D74" s="7">
        <f t="shared" si="2"/>
        <v>4200</v>
      </c>
      <c r="E74" s="7">
        <f t="shared" ref="E74:F74" si="76">if($D74&lt;15000,$D74*12/100,15000*12/100)</f>
        <v>504</v>
      </c>
      <c r="F74" s="7">
        <f t="shared" si="76"/>
        <v>504</v>
      </c>
      <c r="G74" s="7">
        <f t="shared" si="4"/>
        <v>1008</v>
      </c>
    </row>
    <row r="75">
      <c r="A75" s="8">
        <f t="shared" si="5"/>
        <v>74</v>
      </c>
      <c r="B75" s="30" t="s">
        <v>284</v>
      </c>
      <c r="C75" s="42">
        <v>7467.0</v>
      </c>
      <c r="D75" s="7">
        <f t="shared" si="2"/>
        <v>4480.2</v>
      </c>
      <c r="E75" s="7">
        <f t="shared" ref="E75:F75" si="77">if($D75&lt;15000,$D75*12/100,15000*12/100)</f>
        <v>537.624</v>
      </c>
      <c r="F75" s="7">
        <f t="shared" si="77"/>
        <v>537.624</v>
      </c>
      <c r="G75" s="7">
        <f t="shared" si="4"/>
        <v>1075.248</v>
      </c>
    </row>
    <row r="76">
      <c r="A76" s="8">
        <f t="shared" si="5"/>
        <v>75</v>
      </c>
      <c r="B76" s="30" t="s">
        <v>285</v>
      </c>
      <c r="C76" s="42">
        <v>9000.0</v>
      </c>
      <c r="D76" s="7">
        <f t="shared" si="2"/>
        <v>5400</v>
      </c>
      <c r="E76" s="7">
        <f t="shared" ref="E76:F76" si="78">if($D76&lt;15000,$D76*12/100,15000*12/100)</f>
        <v>648</v>
      </c>
      <c r="F76" s="7">
        <f t="shared" si="78"/>
        <v>648</v>
      </c>
      <c r="G76" s="7">
        <f t="shared" si="4"/>
        <v>1296</v>
      </c>
    </row>
    <row r="77">
      <c r="A77" s="8">
        <f t="shared" si="5"/>
        <v>76</v>
      </c>
      <c r="B77" s="44" t="s">
        <v>271</v>
      </c>
      <c r="C77" s="42">
        <v>20000.0</v>
      </c>
      <c r="D77" s="7">
        <f t="shared" si="2"/>
        <v>12000</v>
      </c>
      <c r="E77" s="7">
        <f t="shared" ref="E77:F77" si="79">if($D77&lt;15000,$D77*12/100,15000*12/100)</f>
        <v>1440</v>
      </c>
      <c r="F77" s="7">
        <f t="shared" si="79"/>
        <v>1440</v>
      </c>
      <c r="G77" s="7">
        <f t="shared" si="4"/>
        <v>2880</v>
      </c>
    </row>
    <row r="78">
      <c r="A78" s="8">
        <f t="shared" si="5"/>
        <v>77</v>
      </c>
      <c r="B78" s="44" t="s">
        <v>255</v>
      </c>
      <c r="C78" s="42">
        <v>19550.0</v>
      </c>
      <c r="D78" s="7">
        <f t="shared" si="2"/>
        <v>11730</v>
      </c>
      <c r="E78" s="7">
        <f t="shared" ref="E78:F78" si="80">if($D78&lt;15000,$D78*12/100,15000*12/100)</f>
        <v>1407.6</v>
      </c>
      <c r="F78" s="7">
        <f t="shared" si="80"/>
        <v>1407.6</v>
      </c>
      <c r="G78" s="7">
        <f t="shared" si="4"/>
        <v>2815.2</v>
      </c>
    </row>
    <row r="79">
      <c r="A79" s="8">
        <f t="shared" si="5"/>
        <v>78</v>
      </c>
      <c r="B79" s="44" t="s">
        <v>32</v>
      </c>
      <c r="C79" s="42">
        <v>26000.0</v>
      </c>
      <c r="D79" s="7">
        <f t="shared" si="2"/>
        <v>15600</v>
      </c>
      <c r="E79" s="7">
        <f t="shared" ref="E79:F79" si="81">if($D79&lt;15000,$D79*12/100,15000*12/100)</f>
        <v>1800</v>
      </c>
      <c r="F79" s="7">
        <f t="shared" si="81"/>
        <v>1800</v>
      </c>
      <c r="G79" s="7">
        <f t="shared" si="4"/>
        <v>3600</v>
      </c>
    </row>
    <row r="80">
      <c r="A80" s="8">
        <f t="shared" si="5"/>
        <v>79</v>
      </c>
      <c r="B80" s="44" t="s">
        <v>30</v>
      </c>
      <c r="C80" s="42">
        <v>20000.0</v>
      </c>
      <c r="D80" s="7">
        <f t="shared" si="2"/>
        <v>12000</v>
      </c>
      <c r="E80" s="7">
        <f t="shared" ref="E80:F80" si="82">if($D80&lt;15000,$D80*12/100,15000*12/100)</f>
        <v>1440</v>
      </c>
      <c r="F80" s="7">
        <f t="shared" si="82"/>
        <v>1440</v>
      </c>
      <c r="G80" s="7">
        <f t="shared" si="4"/>
        <v>2880</v>
      </c>
    </row>
    <row r="81">
      <c r="A81" s="8">
        <f t="shared" si="5"/>
        <v>80</v>
      </c>
      <c r="B81" s="44" t="s">
        <v>256</v>
      </c>
      <c r="C81" s="42">
        <v>23000.0</v>
      </c>
      <c r="D81" s="7">
        <f t="shared" si="2"/>
        <v>13800</v>
      </c>
      <c r="E81" s="7">
        <f t="shared" ref="E81:F81" si="83">if($D81&lt;15000,$D81*12/100,15000*12/100)</f>
        <v>1656</v>
      </c>
      <c r="F81" s="7">
        <f t="shared" si="83"/>
        <v>1656</v>
      </c>
      <c r="G81" s="7">
        <f t="shared" si="4"/>
        <v>3312</v>
      </c>
    </row>
    <row r="82">
      <c r="A82" s="8">
        <f t="shared" si="5"/>
        <v>81</v>
      </c>
      <c r="B82" s="44" t="s">
        <v>257</v>
      </c>
      <c r="C82" s="42">
        <v>25133.0</v>
      </c>
      <c r="D82" s="7">
        <f t="shared" si="2"/>
        <v>15079.8</v>
      </c>
      <c r="E82" s="7">
        <f t="shared" ref="E82:F82" si="84">if($D82&lt;15000,$D82*12/100,15000*12/100)</f>
        <v>1800</v>
      </c>
      <c r="F82" s="7">
        <f t="shared" si="84"/>
        <v>1800</v>
      </c>
      <c r="G82" s="7">
        <f t="shared" si="4"/>
        <v>3600</v>
      </c>
    </row>
    <row r="83">
      <c r="A83" s="8">
        <f t="shared" si="5"/>
        <v>82</v>
      </c>
      <c r="B83" s="44" t="s">
        <v>260</v>
      </c>
      <c r="C83" s="42">
        <v>14250.0</v>
      </c>
      <c r="D83" s="7">
        <f t="shared" si="2"/>
        <v>8550</v>
      </c>
      <c r="E83" s="7">
        <f t="shared" ref="E83:F83" si="85">if($D83&lt;15000,$D83*12/100,15000*12/100)</f>
        <v>1026</v>
      </c>
      <c r="F83" s="7">
        <f t="shared" si="85"/>
        <v>1026</v>
      </c>
      <c r="G83" s="7">
        <f t="shared" si="4"/>
        <v>2052</v>
      </c>
    </row>
    <row r="84">
      <c r="A84" s="8">
        <f t="shared" si="5"/>
        <v>83</v>
      </c>
      <c r="B84" s="44" t="s">
        <v>261</v>
      </c>
      <c r="C84" s="42">
        <v>15000.0</v>
      </c>
      <c r="D84" s="7">
        <f t="shared" si="2"/>
        <v>9000</v>
      </c>
      <c r="E84" s="7">
        <f t="shared" ref="E84:F84" si="86">if($D84&lt;15000,$D84*12/100,15000*12/100)</f>
        <v>1080</v>
      </c>
      <c r="F84" s="7">
        <f t="shared" si="86"/>
        <v>1080</v>
      </c>
      <c r="G84" s="7">
        <f t="shared" si="4"/>
        <v>2160</v>
      </c>
    </row>
    <row r="85">
      <c r="A85" s="8">
        <f t="shared" si="5"/>
        <v>84</v>
      </c>
      <c r="B85" s="44" t="s">
        <v>262</v>
      </c>
      <c r="C85" s="42">
        <v>12750.0</v>
      </c>
      <c r="D85" s="7">
        <f t="shared" si="2"/>
        <v>7650</v>
      </c>
      <c r="E85" s="7">
        <f t="shared" ref="E85:F85" si="87">if($D85&lt;15000,$D85*12/100,15000*12/100)</f>
        <v>918</v>
      </c>
      <c r="F85" s="7">
        <f t="shared" si="87"/>
        <v>918</v>
      </c>
      <c r="G85" s="7">
        <f t="shared" si="4"/>
        <v>1836</v>
      </c>
    </row>
    <row r="86">
      <c r="A86" s="8">
        <f t="shared" si="5"/>
        <v>85</v>
      </c>
      <c r="B86" s="44" t="s">
        <v>263</v>
      </c>
      <c r="C86" s="42">
        <v>13000.0</v>
      </c>
      <c r="D86" s="7">
        <f t="shared" si="2"/>
        <v>7800</v>
      </c>
      <c r="E86" s="7">
        <f t="shared" ref="E86:F86" si="88">if($D86&lt;15000,$D86*12/100,15000*12/100)</f>
        <v>936</v>
      </c>
      <c r="F86" s="7">
        <f t="shared" si="88"/>
        <v>936</v>
      </c>
      <c r="G86" s="7">
        <f t="shared" si="4"/>
        <v>1872</v>
      </c>
    </row>
    <row r="87">
      <c r="A87" s="9" t="s">
        <v>34</v>
      </c>
      <c r="B87" s="10"/>
      <c r="C87" s="11">
        <f t="shared" ref="C87:G87" si="89">sum(C2:C86)</f>
        <v>2015401</v>
      </c>
      <c r="D87" s="11">
        <f t="shared" si="89"/>
        <v>1209240.6</v>
      </c>
      <c r="E87" s="11">
        <f t="shared" si="89"/>
        <v>119640.096</v>
      </c>
      <c r="F87" s="11">
        <f t="shared" si="89"/>
        <v>119640.096</v>
      </c>
      <c r="G87" s="11">
        <f t="shared" si="89"/>
        <v>239280.192</v>
      </c>
    </row>
  </sheetData>
  <mergeCells count="1">
    <mergeCell ref="A87:B87"/>
  </mergeCells>
  <hyperlinks>
    <hyperlink r:id="rId1" ref="A1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6" t="s">
        <v>286</v>
      </c>
      <c r="C2" s="41">
        <v>80000.0</v>
      </c>
      <c r="D2" s="7">
        <f t="shared" ref="D2:D90" si="2">C2*60/100</f>
        <v>48000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0" si="4">E2+F2</f>
        <v>3600</v>
      </c>
    </row>
    <row r="3">
      <c r="A3" s="8">
        <f t="shared" ref="A3:A90" si="5">A2+1</f>
        <v>2</v>
      </c>
      <c r="B3" s="26" t="s">
        <v>287</v>
      </c>
      <c r="C3" s="42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46" t="s">
        <v>288</v>
      </c>
      <c r="C4" s="42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289</v>
      </c>
      <c r="C5" s="42">
        <v>39000.0</v>
      </c>
      <c r="D5" s="7">
        <f t="shared" si="2"/>
        <v>23400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46" t="s">
        <v>290</v>
      </c>
      <c r="C6" s="42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46" t="s">
        <v>291</v>
      </c>
      <c r="C7" s="42">
        <v>24000.0</v>
      </c>
      <c r="D7" s="7">
        <f t="shared" si="2"/>
        <v>14400</v>
      </c>
      <c r="E7" s="7">
        <f t="shared" ref="E7:F7" si="9">if($D7&lt;15000,$D7*12/100,15000*12/100)</f>
        <v>1728</v>
      </c>
      <c r="F7" s="7">
        <f t="shared" si="9"/>
        <v>1728</v>
      </c>
      <c r="G7" s="7">
        <f t="shared" si="4"/>
        <v>3456</v>
      </c>
    </row>
    <row r="8">
      <c r="A8" s="8">
        <f t="shared" si="5"/>
        <v>7</v>
      </c>
      <c r="B8" s="26" t="s">
        <v>292</v>
      </c>
      <c r="C8" s="42">
        <v>24000.0</v>
      </c>
      <c r="D8" s="7">
        <f t="shared" si="2"/>
        <v>14400</v>
      </c>
      <c r="E8" s="7">
        <f t="shared" ref="E8:F8" si="10">if($D8&lt;15000,$D8*12/100,15000*12/100)</f>
        <v>1728</v>
      </c>
      <c r="F8" s="7">
        <f t="shared" si="10"/>
        <v>1728</v>
      </c>
      <c r="G8" s="7">
        <f t="shared" si="4"/>
        <v>3456</v>
      </c>
    </row>
    <row r="9">
      <c r="A9" s="8">
        <f t="shared" si="5"/>
        <v>8</v>
      </c>
      <c r="B9" s="26" t="s">
        <v>293</v>
      </c>
      <c r="C9" s="42">
        <v>19000.0</v>
      </c>
      <c r="D9" s="7">
        <f t="shared" si="2"/>
        <v>11400</v>
      </c>
      <c r="E9" s="7">
        <f t="shared" ref="E9:F9" si="11">if($D9&lt;15000,$D9*12/100,15000*12/100)</f>
        <v>1368</v>
      </c>
      <c r="F9" s="7">
        <f t="shared" si="11"/>
        <v>1368</v>
      </c>
      <c r="G9" s="7">
        <f t="shared" si="4"/>
        <v>2736</v>
      </c>
    </row>
    <row r="10">
      <c r="A10" s="8">
        <f t="shared" si="5"/>
        <v>9</v>
      </c>
      <c r="B10" s="26" t="s">
        <v>294</v>
      </c>
      <c r="C10" s="42">
        <v>75000.0</v>
      </c>
      <c r="D10" s="7">
        <f t="shared" si="2"/>
        <v>45000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295</v>
      </c>
      <c r="C11" s="42">
        <v>75000.0</v>
      </c>
      <c r="D11" s="7">
        <f t="shared" si="2"/>
        <v>45000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26" t="s">
        <v>296</v>
      </c>
      <c r="C12" s="42">
        <v>67065.0</v>
      </c>
      <c r="D12" s="7">
        <f t="shared" si="2"/>
        <v>40239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297</v>
      </c>
      <c r="C13" s="42">
        <v>65032.0</v>
      </c>
      <c r="D13" s="7">
        <f t="shared" si="2"/>
        <v>39019.2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298</v>
      </c>
      <c r="C14" s="42">
        <v>26129.0</v>
      </c>
      <c r="D14" s="7">
        <f t="shared" si="2"/>
        <v>15677.4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299</v>
      </c>
      <c r="C15" s="42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26" t="s">
        <v>300</v>
      </c>
      <c r="C16" s="42">
        <v>31000.0</v>
      </c>
      <c r="D16" s="7">
        <f t="shared" si="2"/>
        <v>18600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301</v>
      </c>
      <c r="C17" s="42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302</v>
      </c>
      <c r="C18" s="42">
        <v>19871.0</v>
      </c>
      <c r="D18" s="7">
        <f t="shared" si="2"/>
        <v>11922.6</v>
      </c>
      <c r="E18" s="7">
        <f t="shared" ref="E18:F18" si="20">if($D18&lt;15000,$D18*12/100,15000*12/100)</f>
        <v>1430.712</v>
      </c>
      <c r="F18" s="7">
        <f t="shared" si="20"/>
        <v>1430.712</v>
      </c>
      <c r="G18" s="7">
        <f t="shared" si="4"/>
        <v>2861.424</v>
      </c>
    </row>
    <row r="19">
      <c r="A19" s="8">
        <f t="shared" si="5"/>
        <v>18</v>
      </c>
      <c r="B19" s="26" t="s">
        <v>303</v>
      </c>
      <c r="C19" s="42">
        <v>24000.0</v>
      </c>
      <c r="D19" s="7">
        <f t="shared" si="2"/>
        <v>14400</v>
      </c>
      <c r="E19" s="7">
        <f t="shared" ref="E19:F19" si="21">if($D19&lt;15000,$D19*12/100,15000*12/100)</f>
        <v>1728</v>
      </c>
      <c r="F19" s="7">
        <f t="shared" si="21"/>
        <v>1728</v>
      </c>
      <c r="G19" s="7">
        <f t="shared" si="4"/>
        <v>3456</v>
      </c>
    </row>
    <row r="20">
      <c r="A20" s="8">
        <f t="shared" si="5"/>
        <v>19</v>
      </c>
      <c r="B20" s="26" t="s">
        <v>304</v>
      </c>
      <c r="C20" s="42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305</v>
      </c>
      <c r="C21" s="42">
        <v>34000.0</v>
      </c>
      <c r="D21" s="7">
        <f t="shared" si="2"/>
        <v>20400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26" t="s">
        <v>306</v>
      </c>
      <c r="C22" s="42">
        <v>27000.0</v>
      </c>
      <c r="D22" s="7">
        <f t="shared" si="2"/>
        <v>16200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26" t="s">
        <v>307</v>
      </c>
      <c r="C23" s="42">
        <v>35000.0</v>
      </c>
      <c r="D23" s="7">
        <f t="shared" si="2"/>
        <v>21000</v>
      </c>
      <c r="E23" s="7">
        <f t="shared" ref="E23:F23" si="25">if($D23&lt;15000,$D23*12/100,15000*12/100)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26" t="s">
        <v>308</v>
      </c>
      <c r="C24" s="42">
        <v>32000.0</v>
      </c>
      <c r="D24" s="7">
        <f t="shared" si="2"/>
        <v>19200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26" t="s">
        <v>309</v>
      </c>
      <c r="C25" s="42">
        <v>27000.0</v>
      </c>
      <c r="D25" s="7">
        <f t="shared" si="2"/>
        <v>16200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26" t="s">
        <v>310</v>
      </c>
      <c r="C26" s="42">
        <v>23000.0</v>
      </c>
      <c r="D26" s="7">
        <f t="shared" si="2"/>
        <v>13800</v>
      </c>
      <c r="E26" s="7">
        <f t="shared" ref="E26:F26" si="28">if($D26&lt;15000,$D26*12/100,15000*12/100)</f>
        <v>1656</v>
      </c>
      <c r="F26" s="7">
        <f t="shared" si="28"/>
        <v>1656</v>
      </c>
      <c r="G26" s="7">
        <f t="shared" si="4"/>
        <v>3312</v>
      </c>
    </row>
    <row r="27">
      <c r="A27" s="8">
        <f t="shared" si="5"/>
        <v>26</v>
      </c>
      <c r="B27" s="26" t="s">
        <v>311</v>
      </c>
      <c r="C27" s="42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26" t="s">
        <v>312</v>
      </c>
      <c r="C28" s="42">
        <v>23000.0</v>
      </c>
      <c r="D28" s="7">
        <f t="shared" si="2"/>
        <v>13800</v>
      </c>
      <c r="E28" s="7">
        <f t="shared" ref="E28:F28" si="30">if($D28&lt;15000,$D28*12/100,15000*12/100)</f>
        <v>1656</v>
      </c>
      <c r="F28" s="7">
        <f t="shared" si="30"/>
        <v>1656</v>
      </c>
      <c r="G28" s="7">
        <f t="shared" si="4"/>
        <v>3312</v>
      </c>
    </row>
    <row r="29">
      <c r="A29" s="8">
        <f t="shared" si="5"/>
        <v>28</v>
      </c>
      <c r="B29" s="26" t="s">
        <v>313</v>
      </c>
      <c r="C29" s="42">
        <v>20468.0</v>
      </c>
      <c r="D29" s="7">
        <f t="shared" si="2"/>
        <v>12280.8</v>
      </c>
      <c r="E29" s="7">
        <f t="shared" ref="E29:F29" si="31">if($D29&lt;15000,$D29*12/100,15000*12/100)</f>
        <v>1473.696</v>
      </c>
      <c r="F29" s="7">
        <f t="shared" si="31"/>
        <v>1473.696</v>
      </c>
      <c r="G29" s="7">
        <f t="shared" si="4"/>
        <v>2947.392</v>
      </c>
    </row>
    <row r="30">
      <c r="A30" s="8">
        <f t="shared" si="5"/>
        <v>29</v>
      </c>
      <c r="B30" s="26" t="s">
        <v>314</v>
      </c>
      <c r="C30" s="42">
        <v>25000.0</v>
      </c>
      <c r="D30" s="7">
        <f t="shared" si="2"/>
        <v>15000</v>
      </c>
      <c r="E30" s="7">
        <f t="shared" ref="E30:F30" si="32">if($D30&lt;15000,$D30*12/100,15000*12/100)</f>
        <v>1800</v>
      </c>
      <c r="F30" s="7">
        <f t="shared" si="32"/>
        <v>1800</v>
      </c>
      <c r="G30" s="7">
        <f t="shared" si="4"/>
        <v>3600</v>
      </c>
    </row>
    <row r="31">
      <c r="A31" s="8">
        <f t="shared" si="5"/>
        <v>30</v>
      </c>
      <c r="B31" s="26" t="s">
        <v>315</v>
      </c>
      <c r="C31" s="42">
        <v>19000.0</v>
      </c>
      <c r="D31" s="7">
        <f t="shared" si="2"/>
        <v>11400</v>
      </c>
      <c r="E31" s="7">
        <f t="shared" ref="E31:F31" si="33">if($D31&lt;15000,$D31*12/100,15000*12/100)</f>
        <v>1368</v>
      </c>
      <c r="F31" s="7">
        <f t="shared" si="33"/>
        <v>1368</v>
      </c>
      <c r="G31" s="7">
        <f t="shared" si="4"/>
        <v>2736</v>
      </c>
    </row>
    <row r="32">
      <c r="A32" s="8">
        <f t="shared" si="5"/>
        <v>31</v>
      </c>
      <c r="B32" s="26" t="s">
        <v>316</v>
      </c>
      <c r="C32" s="42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26" t="s">
        <v>317</v>
      </c>
      <c r="C33" s="42">
        <v>27000.0</v>
      </c>
      <c r="D33" s="7">
        <f t="shared" si="2"/>
        <v>16200</v>
      </c>
      <c r="E33" s="7">
        <f t="shared" ref="E33:F33" si="35">if($D33&lt;15000,$D33*12/100,15000*12/100)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26" t="s">
        <v>318</v>
      </c>
      <c r="C34" s="42">
        <v>24000.0</v>
      </c>
      <c r="D34" s="7">
        <f t="shared" si="2"/>
        <v>14400</v>
      </c>
      <c r="E34" s="7">
        <f t="shared" ref="E34:F34" si="36">if($D34&lt;15000,$D34*12/100,15000*12/100)</f>
        <v>1728</v>
      </c>
      <c r="F34" s="7">
        <f t="shared" si="36"/>
        <v>1728</v>
      </c>
      <c r="G34" s="7">
        <f t="shared" si="4"/>
        <v>3456</v>
      </c>
    </row>
    <row r="35">
      <c r="A35" s="8">
        <f t="shared" si="5"/>
        <v>34</v>
      </c>
      <c r="B35" s="26" t="s">
        <v>319</v>
      </c>
      <c r="C35" s="42">
        <v>24000.0</v>
      </c>
      <c r="D35" s="7">
        <f t="shared" si="2"/>
        <v>14400</v>
      </c>
      <c r="E35" s="7">
        <f t="shared" ref="E35:F35" si="37">if($D35&lt;15000,$D35*12/100,15000*12/100)</f>
        <v>1728</v>
      </c>
      <c r="F35" s="7">
        <f t="shared" si="37"/>
        <v>1728</v>
      </c>
      <c r="G35" s="7">
        <f t="shared" si="4"/>
        <v>3456</v>
      </c>
    </row>
    <row r="36">
      <c r="A36" s="8">
        <f t="shared" si="5"/>
        <v>35</v>
      </c>
      <c r="B36" s="26" t="s">
        <v>320</v>
      </c>
      <c r="C36" s="42">
        <v>22000.0</v>
      </c>
      <c r="D36" s="7">
        <f t="shared" si="2"/>
        <v>13200</v>
      </c>
      <c r="E36" s="7">
        <f t="shared" ref="E36:F36" si="38">if($D36&lt;15000,$D36*12/100,15000*12/100)</f>
        <v>1584</v>
      </c>
      <c r="F36" s="7">
        <f t="shared" si="38"/>
        <v>1584</v>
      </c>
      <c r="G36" s="7">
        <f t="shared" si="4"/>
        <v>3168</v>
      </c>
    </row>
    <row r="37">
      <c r="A37" s="8">
        <f t="shared" si="5"/>
        <v>36</v>
      </c>
      <c r="B37" s="26" t="s">
        <v>321</v>
      </c>
      <c r="C37" s="42">
        <v>14806.0</v>
      </c>
      <c r="D37" s="7">
        <f t="shared" si="2"/>
        <v>8883.6</v>
      </c>
      <c r="E37" s="7">
        <f t="shared" ref="E37:F37" si="39">if($D37&lt;15000,$D37*12/100,15000*12/100)</f>
        <v>1066.032</v>
      </c>
      <c r="F37" s="7">
        <f t="shared" si="39"/>
        <v>1066.032</v>
      </c>
      <c r="G37" s="7">
        <f t="shared" si="4"/>
        <v>2132.064</v>
      </c>
    </row>
    <row r="38">
      <c r="A38" s="8">
        <f t="shared" si="5"/>
        <v>37</v>
      </c>
      <c r="B38" s="30" t="s">
        <v>322</v>
      </c>
      <c r="C38" s="42">
        <v>11742.0</v>
      </c>
      <c r="D38" s="7">
        <f t="shared" si="2"/>
        <v>7045.2</v>
      </c>
      <c r="E38" s="7">
        <f t="shared" ref="E38:F38" si="40">if($D38&lt;15000,$D38*12/100,15000*12/100)</f>
        <v>845.424</v>
      </c>
      <c r="F38" s="7">
        <f t="shared" si="40"/>
        <v>845.424</v>
      </c>
      <c r="G38" s="7">
        <f t="shared" si="4"/>
        <v>1690.848</v>
      </c>
    </row>
    <row r="39">
      <c r="A39" s="8">
        <f t="shared" si="5"/>
        <v>38</v>
      </c>
      <c r="B39" s="30" t="s">
        <v>323</v>
      </c>
      <c r="C39" s="42">
        <v>13065.0</v>
      </c>
      <c r="D39" s="7">
        <f t="shared" si="2"/>
        <v>7839</v>
      </c>
      <c r="E39" s="7">
        <f t="shared" ref="E39:F39" si="41">if($D39&lt;15000,$D39*12/100,15000*12/100)</f>
        <v>940.68</v>
      </c>
      <c r="F39" s="7">
        <f t="shared" si="41"/>
        <v>940.68</v>
      </c>
      <c r="G39" s="7">
        <f t="shared" si="4"/>
        <v>1881.36</v>
      </c>
    </row>
    <row r="40">
      <c r="A40" s="8">
        <f t="shared" si="5"/>
        <v>39</v>
      </c>
      <c r="B40" s="30" t="s">
        <v>324</v>
      </c>
      <c r="C40" s="42">
        <v>15000.0</v>
      </c>
      <c r="D40" s="7">
        <f t="shared" si="2"/>
        <v>9000</v>
      </c>
      <c r="E40" s="7">
        <f t="shared" ref="E40:F40" si="42">if($D40&lt;15000,$D40*12/100,15000*12/100)</f>
        <v>1080</v>
      </c>
      <c r="F40" s="7">
        <f t="shared" si="42"/>
        <v>1080</v>
      </c>
      <c r="G40" s="7">
        <f t="shared" si="4"/>
        <v>2160</v>
      </c>
    </row>
    <row r="41">
      <c r="A41" s="8">
        <f t="shared" si="5"/>
        <v>40</v>
      </c>
      <c r="B41" s="30" t="s">
        <v>325</v>
      </c>
      <c r="C41" s="42">
        <v>16935.0</v>
      </c>
      <c r="D41" s="7">
        <f t="shared" si="2"/>
        <v>10161</v>
      </c>
      <c r="E41" s="7">
        <f t="shared" ref="E41:F41" si="43">if($D41&lt;15000,$D41*12/100,15000*12/100)</f>
        <v>1219.32</v>
      </c>
      <c r="F41" s="7">
        <f t="shared" si="43"/>
        <v>1219.32</v>
      </c>
      <c r="G41" s="7">
        <f t="shared" si="4"/>
        <v>2438.64</v>
      </c>
    </row>
    <row r="42">
      <c r="A42" s="8">
        <f t="shared" si="5"/>
        <v>41</v>
      </c>
      <c r="B42" s="30" t="s">
        <v>326</v>
      </c>
      <c r="C42" s="42">
        <v>14516.0</v>
      </c>
      <c r="D42" s="7">
        <f t="shared" si="2"/>
        <v>8709.6</v>
      </c>
      <c r="E42" s="7">
        <f t="shared" ref="E42:F42" si="44">if($D42&lt;15000,$D42*12/100,15000*12/100)</f>
        <v>1045.152</v>
      </c>
      <c r="F42" s="7">
        <f t="shared" si="44"/>
        <v>1045.152</v>
      </c>
      <c r="G42" s="7">
        <f t="shared" si="4"/>
        <v>2090.304</v>
      </c>
    </row>
    <row r="43">
      <c r="A43" s="8">
        <f t="shared" si="5"/>
        <v>42</v>
      </c>
      <c r="B43" s="30" t="s">
        <v>327</v>
      </c>
      <c r="C43" s="42">
        <v>19645.0</v>
      </c>
      <c r="D43" s="7">
        <f t="shared" si="2"/>
        <v>11787</v>
      </c>
      <c r="E43" s="7">
        <f t="shared" ref="E43:F43" si="45">if($D43&lt;15000,$D43*12/100,15000*12/100)</f>
        <v>1414.44</v>
      </c>
      <c r="F43" s="7">
        <f t="shared" si="45"/>
        <v>1414.44</v>
      </c>
      <c r="G43" s="7">
        <f t="shared" si="4"/>
        <v>2828.88</v>
      </c>
    </row>
    <row r="44">
      <c r="A44" s="8">
        <f t="shared" si="5"/>
        <v>43</v>
      </c>
      <c r="B44" s="30" t="s">
        <v>328</v>
      </c>
      <c r="C44" s="42">
        <v>25000.0</v>
      </c>
      <c r="D44" s="7">
        <f t="shared" si="2"/>
        <v>15000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30" t="s">
        <v>329</v>
      </c>
      <c r="C45" s="42">
        <v>17419.0</v>
      </c>
      <c r="D45" s="7">
        <f t="shared" si="2"/>
        <v>10451.4</v>
      </c>
      <c r="E45" s="7">
        <f t="shared" ref="E45:F45" si="47">if($D45&lt;15000,$D45*12/100,15000*12/100)</f>
        <v>1254.168</v>
      </c>
      <c r="F45" s="7">
        <f t="shared" si="47"/>
        <v>1254.168</v>
      </c>
      <c r="G45" s="7">
        <f t="shared" si="4"/>
        <v>2508.336</v>
      </c>
    </row>
    <row r="46">
      <c r="A46" s="8">
        <f t="shared" si="5"/>
        <v>45</v>
      </c>
      <c r="B46" s="30" t="s">
        <v>330</v>
      </c>
      <c r="C46" s="42">
        <v>16452.0</v>
      </c>
      <c r="D46" s="7">
        <f t="shared" si="2"/>
        <v>9871.2</v>
      </c>
      <c r="E46" s="7">
        <f t="shared" ref="E46:F46" si="48">if($D46&lt;15000,$D46*12/100,15000*12/100)</f>
        <v>1184.544</v>
      </c>
      <c r="F46" s="7">
        <f t="shared" si="48"/>
        <v>1184.544</v>
      </c>
      <c r="G46" s="7">
        <f t="shared" si="4"/>
        <v>2369.088</v>
      </c>
    </row>
    <row r="47">
      <c r="A47" s="8">
        <f t="shared" si="5"/>
        <v>46</v>
      </c>
      <c r="B47" s="30" t="s">
        <v>331</v>
      </c>
      <c r="C47" s="42">
        <v>14968.0</v>
      </c>
      <c r="D47" s="7">
        <f t="shared" si="2"/>
        <v>8980.8</v>
      </c>
      <c r="E47" s="7">
        <f t="shared" ref="E47:F47" si="49">if($D47&lt;15000,$D47*12/100,15000*12/100)</f>
        <v>1077.696</v>
      </c>
      <c r="F47" s="7">
        <f t="shared" si="49"/>
        <v>1077.696</v>
      </c>
      <c r="G47" s="7">
        <f t="shared" si="4"/>
        <v>2155.392</v>
      </c>
    </row>
    <row r="48">
      <c r="A48" s="8">
        <f t="shared" si="5"/>
        <v>47</v>
      </c>
      <c r="B48" s="30" t="s">
        <v>332</v>
      </c>
      <c r="C48" s="42">
        <v>19000.0</v>
      </c>
      <c r="D48" s="7">
        <f t="shared" si="2"/>
        <v>11400</v>
      </c>
      <c r="E48" s="7">
        <f t="shared" ref="E48:F48" si="50">if($D48&lt;15000,$D48*12/100,15000*12/100)</f>
        <v>1368</v>
      </c>
      <c r="F48" s="7">
        <f t="shared" si="50"/>
        <v>1368</v>
      </c>
      <c r="G48" s="7">
        <f t="shared" si="4"/>
        <v>2736</v>
      </c>
    </row>
    <row r="49">
      <c r="A49" s="8">
        <f t="shared" si="5"/>
        <v>48</v>
      </c>
      <c r="B49" s="30" t="s">
        <v>333</v>
      </c>
      <c r="C49" s="42">
        <v>17000.0</v>
      </c>
      <c r="D49" s="7">
        <f t="shared" si="2"/>
        <v>10200</v>
      </c>
      <c r="E49" s="7">
        <f t="shared" ref="E49:F49" si="51">if($D49&lt;15000,$D49*12/100,15000*12/100)</f>
        <v>1224</v>
      </c>
      <c r="F49" s="7">
        <f t="shared" si="51"/>
        <v>1224</v>
      </c>
      <c r="G49" s="7">
        <f t="shared" si="4"/>
        <v>2448</v>
      </c>
    </row>
    <row r="50">
      <c r="A50" s="8">
        <f t="shared" si="5"/>
        <v>49</v>
      </c>
      <c r="B50" s="30" t="s">
        <v>334</v>
      </c>
      <c r="C50" s="42">
        <v>20000.0</v>
      </c>
      <c r="D50" s="7">
        <f t="shared" si="2"/>
        <v>12000</v>
      </c>
      <c r="E50" s="7">
        <f t="shared" ref="E50:F50" si="52">if($D50&lt;15000,$D50*12/100,15000*12/100)</f>
        <v>1440</v>
      </c>
      <c r="F50" s="7">
        <f t="shared" si="52"/>
        <v>1440</v>
      </c>
      <c r="G50" s="7">
        <f t="shared" si="4"/>
        <v>2880</v>
      </c>
    </row>
    <row r="51">
      <c r="A51" s="8">
        <f t="shared" si="5"/>
        <v>50</v>
      </c>
      <c r="B51" s="30" t="s">
        <v>335</v>
      </c>
      <c r="C51" s="42">
        <v>16000.0</v>
      </c>
      <c r="D51" s="7">
        <f t="shared" si="2"/>
        <v>9600</v>
      </c>
      <c r="E51" s="7">
        <f t="shared" ref="E51:F51" si="53">if($D51&lt;15000,$D51*12/100,15000*12/100)</f>
        <v>1152</v>
      </c>
      <c r="F51" s="7">
        <f t="shared" si="53"/>
        <v>1152</v>
      </c>
      <c r="G51" s="7">
        <f t="shared" si="4"/>
        <v>2304</v>
      </c>
    </row>
    <row r="52">
      <c r="A52" s="8">
        <f t="shared" si="5"/>
        <v>51</v>
      </c>
      <c r="B52" s="30" t="s">
        <v>336</v>
      </c>
      <c r="C52" s="42">
        <v>16452.0</v>
      </c>
      <c r="D52" s="7">
        <f t="shared" si="2"/>
        <v>9871.2</v>
      </c>
      <c r="E52" s="7">
        <f t="shared" ref="E52:F52" si="54">if($D52&lt;15000,$D52*12/100,15000*12/100)</f>
        <v>1184.544</v>
      </c>
      <c r="F52" s="7">
        <f t="shared" si="54"/>
        <v>1184.544</v>
      </c>
      <c r="G52" s="7">
        <f t="shared" si="4"/>
        <v>2369.088</v>
      </c>
    </row>
    <row r="53">
      <c r="A53" s="8">
        <f t="shared" si="5"/>
        <v>52</v>
      </c>
      <c r="B53" s="30" t="s">
        <v>337</v>
      </c>
      <c r="C53" s="42">
        <v>14516.0</v>
      </c>
      <c r="D53" s="7">
        <f t="shared" si="2"/>
        <v>8709.6</v>
      </c>
      <c r="E53" s="7">
        <f t="shared" ref="E53:F53" si="55">if($D53&lt;15000,$D53*12/100,15000*12/100)</f>
        <v>1045.152</v>
      </c>
      <c r="F53" s="7">
        <f t="shared" si="55"/>
        <v>1045.152</v>
      </c>
      <c r="G53" s="7">
        <f t="shared" si="4"/>
        <v>2090.304</v>
      </c>
    </row>
    <row r="54">
      <c r="A54" s="8">
        <f t="shared" si="5"/>
        <v>53</v>
      </c>
      <c r="B54" s="30" t="s">
        <v>338</v>
      </c>
      <c r="C54" s="42">
        <v>20000.0</v>
      </c>
      <c r="D54" s="7">
        <f t="shared" si="2"/>
        <v>12000</v>
      </c>
      <c r="E54" s="7">
        <f t="shared" ref="E54:F54" si="56">if($D54&lt;15000,$D54*12/100,15000*12/100)</f>
        <v>1440</v>
      </c>
      <c r="F54" s="7">
        <f t="shared" si="56"/>
        <v>1440</v>
      </c>
      <c r="G54" s="7">
        <f t="shared" si="4"/>
        <v>2880</v>
      </c>
    </row>
    <row r="55">
      <c r="A55" s="8">
        <f t="shared" si="5"/>
        <v>54</v>
      </c>
      <c r="B55" s="30" t="s">
        <v>339</v>
      </c>
      <c r="C55" s="42">
        <v>15000.0</v>
      </c>
      <c r="D55" s="7">
        <f t="shared" si="2"/>
        <v>9000</v>
      </c>
      <c r="E55" s="7">
        <f t="shared" ref="E55:F55" si="57">if($D55&lt;15000,$D55*12/100,15000*12/100)</f>
        <v>1080</v>
      </c>
      <c r="F55" s="7">
        <f t="shared" si="57"/>
        <v>1080</v>
      </c>
      <c r="G55" s="7">
        <f t="shared" si="4"/>
        <v>2160</v>
      </c>
    </row>
    <row r="56">
      <c r="A56" s="8">
        <f t="shared" si="5"/>
        <v>55</v>
      </c>
      <c r="B56" s="30" t="s">
        <v>340</v>
      </c>
      <c r="C56" s="42">
        <v>17161.0</v>
      </c>
      <c r="D56" s="7">
        <f t="shared" si="2"/>
        <v>10296.6</v>
      </c>
      <c r="E56" s="7">
        <f t="shared" ref="E56:F56" si="58">if($D56&lt;15000,$D56*12/100,15000*12/100)</f>
        <v>1235.592</v>
      </c>
      <c r="F56" s="7">
        <f t="shared" si="58"/>
        <v>1235.592</v>
      </c>
      <c r="G56" s="7">
        <f t="shared" si="4"/>
        <v>2471.184</v>
      </c>
    </row>
    <row r="57">
      <c r="A57" s="8">
        <f t="shared" si="5"/>
        <v>56</v>
      </c>
      <c r="B57" s="30" t="s">
        <v>341</v>
      </c>
      <c r="C57" s="42">
        <v>22000.0</v>
      </c>
      <c r="D57" s="7">
        <f t="shared" si="2"/>
        <v>13200</v>
      </c>
      <c r="E57" s="7">
        <f t="shared" ref="E57:F57" si="59">if($D57&lt;15000,$D57*12/100,15000*12/100)</f>
        <v>1584</v>
      </c>
      <c r="F57" s="7">
        <f t="shared" si="59"/>
        <v>1584</v>
      </c>
      <c r="G57" s="7">
        <f t="shared" si="4"/>
        <v>3168</v>
      </c>
    </row>
    <row r="58">
      <c r="A58" s="8">
        <f t="shared" si="5"/>
        <v>57</v>
      </c>
      <c r="B58" s="30" t="s">
        <v>342</v>
      </c>
      <c r="C58" s="42">
        <v>20000.0</v>
      </c>
      <c r="D58" s="7">
        <f t="shared" si="2"/>
        <v>12000</v>
      </c>
      <c r="E58" s="7">
        <f t="shared" ref="E58:F58" si="60">if($D58&lt;15000,$D58*12/100,15000*12/100)</f>
        <v>1440</v>
      </c>
      <c r="F58" s="7">
        <f t="shared" si="60"/>
        <v>1440</v>
      </c>
      <c r="G58" s="7">
        <f t="shared" si="4"/>
        <v>2880</v>
      </c>
    </row>
    <row r="59">
      <c r="A59" s="8">
        <f t="shared" si="5"/>
        <v>58</v>
      </c>
      <c r="B59" s="30" t="s">
        <v>343</v>
      </c>
      <c r="C59" s="42">
        <v>17000.0</v>
      </c>
      <c r="D59" s="7">
        <f t="shared" si="2"/>
        <v>10200</v>
      </c>
      <c r="E59" s="7">
        <f t="shared" ref="E59:F59" si="61">if($D59&lt;15000,$D59*12/100,15000*12/100)</f>
        <v>1224</v>
      </c>
      <c r="F59" s="7">
        <f t="shared" si="61"/>
        <v>1224</v>
      </c>
      <c r="G59" s="7">
        <f t="shared" si="4"/>
        <v>2448</v>
      </c>
    </row>
    <row r="60">
      <c r="A60" s="8">
        <f t="shared" si="5"/>
        <v>59</v>
      </c>
      <c r="B60" s="30" t="s">
        <v>344</v>
      </c>
      <c r="C60" s="42">
        <v>14032.0</v>
      </c>
      <c r="D60" s="7">
        <f t="shared" si="2"/>
        <v>8419.2</v>
      </c>
      <c r="E60" s="7">
        <f t="shared" ref="E60:F60" si="62">if($D60&lt;15000,$D60*12/100,15000*12/100)</f>
        <v>1010.304</v>
      </c>
      <c r="F60" s="7">
        <f t="shared" si="62"/>
        <v>1010.304</v>
      </c>
      <c r="G60" s="7">
        <f t="shared" si="4"/>
        <v>2020.608</v>
      </c>
    </row>
    <row r="61">
      <c r="A61" s="8">
        <f t="shared" si="5"/>
        <v>60</v>
      </c>
      <c r="B61" s="30" t="s">
        <v>345</v>
      </c>
      <c r="C61" s="42">
        <v>16000.0</v>
      </c>
      <c r="D61" s="7">
        <f t="shared" si="2"/>
        <v>9600</v>
      </c>
      <c r="E61" s="7">
        <f t="shared" ref="E61:F61" si="63">if($D61&lt;15000,$D61*12/100,15000*12/100)</f>
        <v>1152</v>
      </c>
      <c r="F61" s="7">
        <f t="shared" si="63"/>
        <v>1152</v>
      </c>
      <c r="G61" s="7">
        <f t="shared" si="4"/>
        <v>2304</v>
      </c>
    </row>
    <row r="62">
      <c r="A62" s="8">
        <f t="shared" si="5"/>
        <v>61</v>
      </c>
      <c r="B62" s="24" t="s">
        <v>346</v>
      </c>
      <c r="C62" s="42">
        <v>20000.0</v>
      </c>
      <c r="D62" s="7">
        <f t="shared" si="2"/>
        <v>12000</v>
      </c>
      <c r="E62" s="7">
        <f t="shared" ref="E62:F62" si="64">if($D62&lt;15000,$D62*12/100,15000*12/100)</f>
        <v>1440</v>
      </c>
      <c r="F62" s="7">
        <f t="shared" si="64"/>
        <v>1440</v>
      </c>
      <c r="G62" s="7">
        <f t="shared" si="4"/>
        <v>2880</v>
      </c>
    </row>
    <row r="63">
      <c r="A63" s="8">
        <f t="shared" si="5"/>
        <v>62</v>
      </c>
      <c r="B63" s="24" t="s">
        <v>347</v>
      </c>
      <c r="C63" s="42">
        <v>12000.0</v>
      </c>
      <c r="D63" s="7">
        <f t="shared" si="2"/>
        <v>7200</v>
      </c>
      <c r="E63" s="7">
        <f t="shared" ref="E63:F63" si="65">if($D63&lt;15000,$D63*12/100,15000*12/100)</f>
        <v>864</v>
      </c>
      <c r="F63" s="7">
        <f t="shared" si="65"/>
        <v>864</v>
      </c>
      <c r="G63" s="7">
        <f t="shared" si="4"/>
        <v>1728</v>
      </c>
    </row>
    <row r="64">
      <c r="A64" s="8">
        <f t="shared" si="5"/>
        <v>63</v>
      </c>
      <c r="B64" s="24" t="s">
        <v>348</v>
      </c>
      <c r="C64" s="42">
        <v>14968.0</v>
      </c>
      <c r="D64" s="7">
        <f t="shared" si="2"/>
        <v>8980.8</v>
      </c>
      <c r="E64" s="7">
        <f t="shared" ref="E64:F64" si="66">if($D64&lt;15000,$D64*12/100,15000*12/100)</f>
        <v>1077.696</v>
      </c>
      <c r="F64" s="7">
        <f t="shared" si="66"/>
        <v>1077.696</v>
      </c>
      <c r="G64" s="7">
        <f t="shared" si="4"/>
        <v>2155.392</v>
      </c>
    </row>
    <row r="65">
      <c r="A65" s="8">
        <f t="shared" si="5"/>
        <v>64</v>
      </c>
      <c r="B65" s="24" t="s">
        <v>349</v>
      </c>
      <c r="C65" s="42">
        <v>15000.0</v>
      </c>
      <c r="D65" s="7">
        <f t="shared" si="2"/>
        <v>9000</v>
      </c>
      <c r="E65" s="7">
        <f t="shared" ref="E65:F65" si="67">if($D65&lt;15000,$D65*12/100,15000*12/100)</f>
        <v>1080</v>
      </c>
      <c r="F65" s="7">
        <f t="shared" si="67"/>
        <v>1080</v>
      </c>
      <c r="G65" s="7">
        <f t="shared" si="4"/>
        <v>2160</v>
      </c>
    </row>
    <row r="66">
      <c r="A66" s="8">
        <f t="shared" si="5"/>
        <v>65</v>
      </c>
      <c r="B66" s="47" t="s">
        <v>350</v>
      </c>
      <c r="C66" s="42">
        <v>30000.0</v>
      </c>
      <c r="D66" s="7">
        <f t="shared" si="2"/>
        <v>18000</v>
      </c>
      <c r="E66" s="7">
        <f t="shared" ref="E66:F66" si="68">if($D66&lt;15000,$D66*12/100,15000*12/100)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30" t="s">
        <v>351</v>
      </c>
      <c r="C67" s="42">
        <v>25000.0</v>
      </c>
      <c r="D67" s="7">
        <f t="shared" si="2"/>
        <v>15000</v>
      </c>
      <c r="E67" s="7">
        <f t="shared" ref="E67:F67" si="69">if($D67&lt;15000,$D67*12/100,15000*12/100)</f>
        <v>1800</v>
      </c>
      <c r="F67" s="7">
        <f t="shared" si="69"/>
        <v>1800</v>
      </c>
      <c r="G67" s="7">
        <f t="shared" si="4"/>
        <v>3600</v>
      </c>
    </row>
    <row r="68">
      <c r="A68" s="8">
        <f t="shared" si="5"/>
        <v>67</v>
      </c>
      <c r="B68" s="30" t="s">
        <v>352</v>
      </c>
      <c r="C68" s="42">
        <v>17000.0</v>
      </c>
      <c r="D68" s="7">
        <f t="shared" si="2"/>
        <v>10200</v>
      </c>
      <c r="E68" s="7">
        <f t="shared" ref="E68:F68" si="70">if($D68&lt;15000,$D68*12/100,15000*12/100)</f>
        <v>1224</v>
      </c>
      <c r="F68" s="7">
        <f t="shared" si="70"/>
        <v>1224</v>
      </c>
      <c r="G68" s="7">
        <f t="shared" si="4"/>
        <v>2448</v>
      </c>
    </row>
    <row r="69">
      <c r="A69" s="8">
        <f t="shared" si="5"/>
        <v>68</v>
      </c>
      <c r="B69" s="30" t="s">
        <v>353</v>
      </c>
      <c r="C69" s="42">
        <v>22000.0</v>
      </c>
      <c r="D69" s="7">
        <f t="shared" si="2"/>
        <v>13200</v>
      </c>
      <c r="E69" s="7">
        <f t="shared" ref="E69:F69" si="71">if($D69&lt;15000,$D69*12/100,15000*12/100)</f>
        <v>1584</v>
      </c>
      <c r="F69" s="7">
        <f t="shared" si="71"/>
        <v>1584</v>
      </c>
      <c r="G69" s="7">
        <f t="shared" si="4"/>
        <v>3168</v>
      </c>
    </row>
    <row r="70">
      <c r="A70" s="8">
        <f t="shared" si="5"/>
        <v>69</v>
      </c>
      <c r="B70" s="48" t="s">
        <v>354</v>
      </c>
      <c r="C70" s="42">
        <v>21290.0</v>
      </c>
      <c r="D70" s="7">
        <f t="shared" si="2"/>
        <v>12774</v>
      </c>
      <c r="E70" s="7">
        <f t="shared" ref="E70:F70" si="72">if($D70&lt;15000,$D70*12/100,15000*12/100)</f>
        <v>1532.88</v>
      </c>
      <c r="F70" s="7">
        <f t="shared" si="72"/>
        <v>1532.88</v>
      </c>
      <c r="G70" s="7">
        <f t="shared" si="4"/>
        <v>3065.76</v>
      </c>
    </row>
    <row r="71">
      <c r="A71" s="8">
        <f t="shared" si="5"/>
        <v>70</v>
      </c>
      <c r="B71" s="47" t="s">
        <v>355</v>
      </c>
      <c r="C71" s="42">
        <v>5194.0</v>
      </c>
      <c r="D71" s="7">
        <f t="shared" si="2"/>
        <v>3116.4</v>
      </c>
      <c r="E71" s="7">
        <f t="shared" ref="E71:F71" si="73">if($D71&lt;15000,$D71*12/100,15000*12/100)</f>
        <v>373.968</v>
      </c>
      <c r="F71" s="7">
        <f t="shared" si="73"/>
        <v>373.968</v>
      </c>
      <c r="G71" s="7">
        <f t="shared" si="4"/>
        <v>747.936</v>
      </c>
    </row>
    <row r="72">
      <c r="A72" s="8">
        <f t="shared" si="5"/>
        <v>71</v>
      </c>
      <c r="B72" s="47" t="s">
        <v>356</v>
      </c>
      <c r="C72" s="42">
        <v>9000.0</v>
      </c>
      <c r="D72" s="7">
        <f t="shared" si="2"/>
        <v>5400</v>
      </c>
      <c r="E72" s="7">
        <f t="shared" ref="E72:F72" si="74">if($D72&lt;15000,$D72*12/100,15000*12/100)</f>
        <v>648</v>
      </c>
      <c r="F72" s="7">
        <f t="shared" si="74"/>
        <v>648</v>
      </c>
      <c r="G72" s="7">
        <f t="shared" si="4"/>
        <v>1296</v>
      </c>
    </row>
    <row r="73">
      <c r="A73" s="8">
        <f t="shared" si="5"/>
        <v>72</v>
      </c>
      <c r="B73" s="47" t="s">
        <v>357</v>
      </c>
      <c r="C73" s="42">
        <v>10000.0</v>
      </c>
      <c r="D73" s="7">
        <f t="shared" si="2"/>
        <v>6000</v>
      </c>
      <c r="E73" s="7">
        <f t="shared" ref="E73:F73" si="75">if($D73&lt;15000,$D73*12/100,15000*12/100)</f>
        <v>720</v>
      </c>
      <c r="F73" s="7">
        <f t="shared" si="75"/>
        <v>720</v>
      </c>
      <c r="G73" s="7">
        <f t="shared" si="4"/>
        <v>1440</v>
      </c>
    </row>
    <row r="74">
      <c r="A74" s="8">
        <f t="shared" si="5"/>
        <v>73</v>
      </c>
      <c r="B74" s="47" t="s">
        <v>358</v>
      </c>
      <c r="C74" s="42">
        <v>7000.0</v>
      </c>
      <c r="D74" s="7">
        <f t="shared" si="2"/>
        <v>4200</v>
      </c>
      <c r="E74" s="7">
        <f t="shared" ref="E74:F74" si="76">if($D74&lt;15000,$D74*12/100,15000*12/100)</f>
        <v>504</v>
      </c>
      <c r="F74" s="7">
        <f t="shared" si="76"/>
        <v>504</v>
      </c>
      <c r="G74" s="7">
        <f t="shared" si="4"/>
        <v>1008</v>
      </c>
    </row>
    <row r="75">
      <c r="A75" s="8">
        <f t="shared" si="5"/>
        <v>74</v>
      </c>
      <c r="B75" s="47" t="s">
        <v>359</v>
      </c>
      <c r="C75" s="42">
        <v>8000.0</v>
      </c>
      <c r="D75" s="7">
        <f t="shared" si="2"/>
        <v>4800</v>
      </c>
      <c r="E75" s="7">
        <f t="shared" ref="E75:F75" si="77">if($D75&lt;15000,$D75*12/100,15000*12/100)</f>
        <v>576</v>
      </c>
      <c r="F75" s="7">
        <f t="shared" si="77"/>
        <v>576</v>
      </c>
      <c r="G75" s="7">
        <f t="shared" si="4"/>
        <v>1152</v>
      </c>
    </row>
    <row r="76">
      <c r="A76" s="8">
        <f t="shared" si="5"/>
        <v>75</v>
      </c>
      <c r="B76" s="47" t="s">
        <v>360</v>
      </c>
      <c r="C76" s="42">
        <v>9000.0</v>
      </c>
      <c r="D76" s="7">
        <f t="shared" si="2"/>
        <v>5400</v>
      </c>
      <c r="E76" s="7">
        <f t="shared" ref="E76:F76" si="78">if($D76&lt;15000,$D76*12/100,15000*12/100)</f>
        <v>648</v>
      </c>
      <c r="F76" s="7">
        <f t="shared" si="78"/>
        <v>648</v>
      </c>
      <c r="G76" s="7">
        <f t="shared" si="4"/>
        <v>1296</v>
      </c>
    </row>
    <row r="77">
      <c r="A77" s="8">
        <f t="shared" si="5"/>
        <v>76</v>
      </c>
      <c r="B77" s="47" t="s">
        <v>361</v>
      </c>
      <c r="C77" s="42">
        <v>20000.0</v>
      </c>
      <c r="D77" s="7">
        <f t="shared" si="2"/>
        <v>12000</v>
      </c>
      <c r="E77" s="7">
        <f t="shared" ref="E77:F77" si="79">if($D77&lt;15000,$D77*12/100,15000*12/100)</f>
        <v>1440</v>
      </c>
      <c r="F77" s="7">
        <f t="shared" si="79"/>
        <v>1440</v>
      </c>
      <c r="G77" s="7">
        <f t="shared" si="4"/>
        <v>2880</v>
      </c>
    </row>
    <row r="78">
      <c r="A78" s="8">
        <f t="shared" si="5"/>
        <v>77</v>
      </c>
      <c r="B78" s="44" t="s">
        <v>362</v>
      </c>
      <c r="C78" s="42">
        <v>20774.0</v>
      </c>
      <c r="D78" s="7">
        <f t="shared" si="2"/>
        <v>12464.4</v>
      </c>
      <c r="E78" s="7">
        <f t="shared" ref="E78:F78" si="80">if($D78&lt;15000,$D78*12/100,15000*12/100)</f>
        <v>1495.728</v>
      </c>
      <c r="F78" s="7">
        <f t="shared" si="80"/>
        <v>1495.728</v>
      </c>
      <c r="G78" s="7">
        <f t="shared" si="4"/>
        <v>2991.456</v>
      </c>
    </row>
    <row r="79">
      <c r="A79" s="8">
        <f t="shared" si="5"/>
        <v>78</v>
      </c>
      <c r="B79" s="44" t="s">
        <v>363</v>
      </c>
      <c r="C79" s="42">
        <v>26000.0</v>
      </c>
      <c r="D79" s="7">
        <f t="shared" si="2"/>
        <v>15600</v>
      </c>
      <c r="E79" s="7">
        <f t="shared" ref="E79:F79" si="81">if($D79&lt;15000,$D79*12/100,15000*12/100)</f>
        <v>1800</v>
      </c>
      <c r="F79" s="7">
        <f t="shared" si="81"/>
        <v>1800</v>
      </c>
      <c r="G79" s="7">
        <f t="shared" si="4"/>
        <v>3600</v>
      </c>
    </row>
    <row r="80">
      <c r="A80" s="8">
        <f t="shared" si="5"/>
        <v>79</v>
      </c>
      <c r="B80" s="44" t="s">
        <v>364</v>
      </c>
      <c r="C80" s="42">
        <v>20000.0</v>
      </c>
      <c r="D80" s="7">
        <f t="shared" si="2"/>
        <v>12000</v>
      </c>
      <c r="E80" s="7">
        <f t="shared" ref="E80:F80" si="82">if($D80&lt;15000,$D80*12/100,15000*12/100)</f>
        <v>1440</v>
      </c>
      <c r="F80" s="7">
        <f t="shared" si="82"/>
        <v>1440</v>
      </c>
      <c r="G80" s="7">
        <f t="shared" si="4"/>
        <v>2880</v>
      </c>
    </row>
    <row r="81">
      <c r="A81" s="8">
        <f t="shared" si="5"/>
        <v>80</v>
      </c>
      <c r="B81" s="44" t="s">
        <v>365</v>
      </c>
      <c r="C81" s="42">
        <v>22629.0</v>
      </c>
      <c r="D81" s="7">
        <f t="shared" si="2"/>
        <v>13577.4</v>
      </c>
      <c r="E81" s="7">
        <f t="shared" ref="E81:F81" si="83">if($D81&lt;15000,$D81*12/100,15000*12/100)</f>
        <v>1629.288</v>
      </c>
      <c r="F81" s="7">
        <f t="shared" si="83"/>
        <v>1629.288</v>
      </c>
      <c r="G81" s="7">
        <f t="shared" si="4"/>
        <v>3258.576</v>
      </c>
    </row>
    <row r="82">
      <c r="A82" s="8">
        <f t="shared" si="5"/>
        <v>81</v>
      </c>
      <c r="B82" s="44" t="s">
        <v>366</v>
      </c>
      <c r="C82" s="42">
        <v>25161.0</v>
      </c>
      <c r="D82" s="7">
        <f t="shared" si="2"/>
        <v>15096.6</v>
      </c>
      <c r="E82" s="7">
        <f t="shared" ref="E82:F82" si="84">if($D82&lt;15000,$D82*12/100,15000*12/100)</f>
        <v>1800</v>
      </c>
      <c r="F82" s="7">
        <f t="shared" si="84"/>
        <v>1800</v>
      </c>
      <c r="G82" s="7">
        <f t="shared" si="4"/>
        <v>3600</v>
      </c>
    </row>
    <row r="83">
      <c r="A83" s="8">
        <f t="shared" si="5"/>
        <v>82</v>
      </c>
      <c r="B83" s="44" t="s">
        <v>367</v>
      </c>
      <c r="C83" s="42">
        <v>14516.0</v>
      </c>
      <c r="D83" s="7">
        <f t="shared" si="2"/>
        <v>8709.6</v>
      </c>
      <c r="E83" s="7">
        <f t="shared" ref="E83:F83" si="85">if($D83&lt;15000,$D83*12/100,15000*12/100)</f>
        <v>1045.152</v>
      </c>
      <c r="F83" s="7">
        <f t="shared" si="85"/>
        <v>1045.152</v>
      </c>
      <c r="G83" s="7">
        <f t="shared" si="4"/>
        <v>2090.304</v>
      </c>
    </row>
    <row r="84">
      <c r="A84" s="8">
        <f t="shared" si="5"/>
        <v>83</v>
      </c>
      <c r="B84" s="44" t="s">
        <v>368</v>
      </c>
      <c r="C84" s="42">
        <v>15000.0</v>
      </c>
      <c r="D84" s="7">
        <f t="shared" si="2"/>
        <v>9000</v>
      </c>
      <c r="E84" s="7">
        <f t="shared" ref="E84:F84" si="86">if($D84&lt;15000,$D84*12/100,15000*12/100)</f>
        <v>1080</v>
      </c>
      <c r="F84" s="7">
        <f t="shared" si="86"/>
        <v>1080</v>
      </c>
      <c r="G84" s="7">
        <f t="shared" si="4"/>
        <v>2160</v>
      </c>
    </row>
    <row r="85">
      <c r="A85" s="8">
        <f t="shared" si="5"/>
        <v>84</v>
      </c>
      <c r="B85" s="44" t="s">
        <v>369</v>
      </c>
      <c r="C85" s="42">
        <v>14758.0</v>
      </c>
      <c r="D85" s="7">
        <f t="shared" si="2"/>
        <v>8854.8</v>
      </c>
      <c r="E85" s="7">
        <f t="shared" ref="E85:F85" si="87">if($D85&lt;15000,$D85*12/100,15000*12/100)</f>
        <v>1062.576</v>
      </c>
      <c r="F85" s="7">
        <f t="shared" si="87"/>
        <v>1062.576</v>
      </c>
      <c r="G85" s="7">
        <f t="shared" si="4"/>
        <v>2125.152</v>
      </c>
    </row>
    <row r="86">
      <c r="A86" s="8">
        <f t="shared" si="5"/>
        <v>85</v>
      </c>
      <c r="B86" s="30" t="s">
        <v>370</v>
      </c>
      <c r="C86" s="42">
        <v>15000.0</v>
      </c>
      <c r="D86" s="7">
        <f t="shared" si="2"/>
        <v>9000</v>
      </c>
      <c r="E86" s="7">
        <f t="shared" ref="E86:F86" si="88">if($D86&lt;15000,$D86*12/100,15000*12/100)</f>
        <v>1080</v>
      </c>
      <c r="F86" s="7">
        <f t="shared" si="88"/>
        <v>1080</v>
      </c>
      <c r="G86" s="7">
        <f t="shared" si="4"/>
        <v>2160</v>
      </c>
    </row>
    <row r="87">
      <c r="A87" s="8">
        <f t="shared" si="5"/>
        <v>86</v>
      </c>
      <c r="B87" s="30" t="s">
        <v>371</v>
      </c>
      <c r="C87" s="42">
        <v>17710.0</v>
      </c>
      <c r="D87" s="7">
        <f t="shared" si="2"/>
        <v>10626</v>
      </c>
      <c r="E87" s="7">
        <f t="shared" ref="E87:F87" si="89">if($D87&lt;15000,$D87*12/100,15000*12/100)</f>
        <v>1275.12</v>
      </c>
      <c r="F87" s="7">
        <f t="shared" si="89"/>
        <v>1275.12</v>
      </c>
      <c r="G87" s="7">
        <f t="shared" si="4"/>
        <v>2550.24</v>
      </c>
    </row>
    <row r="88">
      <c r="A88" s="8">
        <f t="shared" si="5"/>
        <v>87</v>
      </c>
      <c r="B88" s="44" t="s">
        <v>372</v>
      </c>
      <c r="C88" s="42">
        <v>11129.0</v>
      </c>
      <c r="D88" s="7">
        <f t="shared" si="2"/>
        <v>6677.4</v>
      </c>
      <c r="E88" s="7">
        <f t="shared" ref="E88:F88" si="90">if($D88&lt;15000,$D88*12/100,15000*12/100)</f>
        <v>801.288</v>
      </c>
      <c r="F88" s="7">
        <f t="shared" si="90"/>
        <v>801.288</v>
      </c>
      <c r="G88" s="7">
        <f t="shared" si="4"/>
        <v>1602.576</v>
      </c>
    </row>
    <row r="89">
      <c r="A89" s="8">
        <f t="shared" si="5"/>
        <v>88</v>
      </c>
      <c r="B89" s="44" t="s">
        <v>373</v>
      </c>
      <c r="C89" s="42">
        <v>19355.0</v>
      </c>
      <c r="D89" s="7">
        <f t="shared" si="2"/>
        <v>11613</v>
      </c>
      <c r="E89" s="7">
        <f t="shared" ref="E89:F89" si="91">if($D89&lt;15000,$D89*12/100,15000*12/100)</f>
        <v>1393.56</v>
      </c>
      <c r="F89" s="7">
        <f t="shared" si="91"/>
        <v>1393.56</v>
      </c>
      <c r="G89" s="7">
        <f t="shared" si="4"/>
        <v>2787.12</v>
      </c>
    </row>
    <row r="90">
      <c r="A90" s="8">
        <f t="shared" si="5"/>
        <v>89</v>
      </c>
      <c r="B90" s="44" t="s">
        <v>374</v>
      </c>
      <c r="C90" s="42">
        <v>18548.0</v>
      </c>
      <c r="D90" s="7">
        <f t="shared" si="2"/>
        <v>11128.8</v>
      </c>
      <c r="E90" s="7">
        <f t="shared" ref="E90:F90" si="92">if($D90&lt;15000,$D90*12/100,15000*12/100)</f>
        <v>1335.456</v>
      </c>
      <c r="F90" s="7">
        <f t="shared" si="92"/>
        <v>1335.456</v>
      </c>
      <c r="G90" s="7">
        <f t="shared" si="4"/>
        <v>2670.912</v>
      </c>
    </row>
    <row r="91">
      <c r="A91" s="9" t="s">
        <v>34</v>
      </c>
      <c r="B91" s="10"/>
      <c r="C91" s="11">
        <f t="shared" ref="C91:G91" si="93">sum(C2:C90)</f>
        <v>2087306</v>
      </c>
      <c r="D91" s="11">
        <f t="shared" si="93"/>
        <v>1252383.6</v>
      </c>
      <c r="E91" s="11">
        <f t="shared" si="93"/>
        <v>124914.168</v>
      </c>
      <c r="F91" s="11">
        <f t="shared" si="93"/>
        <v>124914.168</v>
      </c>
      <c r="G91" s="11">
        <f t="shared" si="93"/>
        <v>249828.336</v>
      </c>
    </row>
  </sheetData>
  <mergeCells count="1">
    <mergeCell ref="A91:B91"/>
  </mergeCells>
  <hyperlinks>
    <hyperlink r:id="rId1" ref="A1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286</v>
      </c>
      <c r="C2" s="41">
        <v>80000.0</v>
      </c>
      <c r="D2" s="7">
        <f t="shared" ref="D2:D93" si="2">C2*60/100</f>
        <v>48000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3" si="4">E2+F2</f>
        <v>3600</v>
      </c>
    </row>
    <row r="3">
      <c r="A3" s="8">
        <f t="shared" ref="A3:A93" si="5">A2+1</f>
        <v>2</v>
      </c>
      <c r="B3" s="46" t="s">
        <v>287</v>
      </c>
      <c r="C3" s="42">
        <v>57097.0</v>
      </c>
      <c r="D3" s="7">
        <f t="shared" si="2"/>
        <v>34258.2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46" t="s">
        <v>288</v>
      </c>
      <c r="C4" s="42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289</v>
      </c>
      <c r="C5" s="42">
        <v>37742.0</v>
      </c>
      <c r="D5" s="7">
        <f t="shared" si="2"/>
        <v>22645.2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46" t="s">
        <v>290</v>
      </c>
      <c r="C6" s="42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46" t="s">
        <v>291</v>
      </c>
      <c r="C7" s="42">
        <v>24000.0</v>
      </c>
      <c r="D7" s="7">
        <f t="shared" si="2"/>
        <v>14400</v>
      </c>
      <c r="E7" s="7">
        <f t="shared" ref="E7:F7" si="9">if($D7&lt;15000,$D7*12/100,15000*12/100)</f>
        <v>1728</v>
      </c>
      <c r="F7" s="7">
        <f t="shared" si="9"/>
        <v>1728</v>
      </c>
      <c r="G7" s="7">
        <f t="shared" si="4"/>
        <v>3456</v>
      </c>
    </row>
    <row r="8">
      <c r="A8" s="8">
        <f t="shared" si="5"/>
        <v>7</v>
      </c>
      <c r="B8" s="26" t="s">
        <v>292</v>
      </c>
      <c r="C8" s="42">
        <v>21677.0</v>
      </c>
      <c r="D8" s="7">
        <f t="shared" si="2"/>
        <v>13006.2</v>
      </c>
      <c r="E8" s="7">
        <f t="shared" ref="E8:F8" si="10">if($D8&lt;15000,$D8*12/100,15000*12/100)</f>
        <v>1560.744</v>
      </c>
      <c r="F8" s="7">
        <f t="shared" si="10"/>
        <v>1560.744</v>
      </c>
      <c r="G8" s="7">
        <f t="shared" si="4"/>
        <v>3121.488</v>
      </c>
    </row>
    <row r="9">
      <c r="A9" s="8">
        <f t="shared" si="5"/>
        <v>8</v>
      </c>
      <c r="B9" s="26" t="s">
        <v>293</v>
      </c>
      <c r="C9" s="42">
        <v>19000.0</v>
      </c>
      <c r="D9" s="7">
        <f t="shared" si="2"/>
        <v>11400</v>
      </c>
      <c r="E9" s="7">
        <f t="shared" ref="E9:F9" si="11">if($D9&lt;15000,$D9*12/100,15000*12/100)</f>
        <v>1368</v>
      </c>
      <c r="F9" s="7">
        <f t="shared" si="11"/>
        <v>1368</v>
      </c>
      <c r="G9" s="7">
        <f t="shared" si="4"/>
        <v>2736</v>
      </c>
    </row>
    <row r="10">
      <c r="A10" s="8">
        <f t="shared" si="5"/>
        <v>9</v>
      </c>
      <c r="B10" s="46" t="s">
        <v>294</v>
      </c>
      <c r="C10" s="42">
        <v>75000.0</v>
      </c>
      <c r="D10" s="7">
        <f t="shared" si="2"/>
        <v>45000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46" t="s">
        <v>295</v>
      </c>
      <c r="C11" s="42">
        <v>75000.0</v>
      </c>
      <c r="D11" s="7">
        <f t="shared" si="2"/>
        <v>45000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46" t="s">
        <v>296</v>
      </c>
      <c r="C12" s="42">
        <v>77000.0</v>
      </c>
      <c r="D12" s="7">
        <f t="shared" si="2"/>
        <v>46200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46" t="s">
        <v>297</v>
      </c>
      <c r="C13" s="42">
        <v>72000.0</v>
      </c>
      <c r="D13" s="7">
        <f t="shared" si="2"/>
        <v>43200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298</v>
      </c>
      <c r="C14" s="42">
        <v>26129.0</v>
      </c>
      <c r="D14" s="7">
        <f t="shared" si="2"/>
        <v>15677.4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299</v>
      </c>
      <c r="C15" s="42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26" t="s">
        <v>300</v>
      </c>
      <c r="C16" s="42">
        <v>31000.0</v>
      </c>
      <c r="D16" s="7">
        <f t="shared" si="2"/>
        <v>18600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301</v>
      </c>
      <c r="C17" s="42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302</v>
      </c>
      <c r="C18" s="42">
        <v>27097.0</v>
      </c>
      <c r="D18" s="7">
        <f t="shared" si="2"/>
        <v>16258.2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303</v>
      </c>
      <c r="C19" s="42">
        <v>24000.0</v>
      </c>
      <c r="D19" s="7">
        <f t="shared" si="2"/>
        <v>14400</v>
      </c>
      <c r="E19" s="7">
        <f t="shared" ref="E19:F19" si="21">if($D19&lt;15000,$D19*12/100,15000*12/100)</f>
        <v>1728</v>
      </c>
      <c r="F19" s="7">
        <f t="shared" si="21"/>
        <v>1728</v>
      </c>
      <c r="G19" s="7">
        <f t="shared" si="4"/>
        <v>3456</v>
      </c>
    </row>
    <row r="20">
      <c r="A20" s="8">
        <f t="shared" si="5"/>
        <v>19</v>
      </c>
      <c r="B20" s="26" t="s">
        <v>304</v>
      </c>
      <c r="C20" s="42">
        <v>26129.0</v>
      </c>
      <c r="D20" s="7">
        <f t="shared" si="2"/>
        <v>15677.4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305</v>
      </c>
      <c r="C21" s="42">
        <v>34000.0</v>
      </c>
      <c r="D21" s="7">
        <f t="shared" si="2"/>
        <v>20400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26" t="s">
        <v>306</v>
      </c>
      <c r="C22" s="42">
        <v>26129.0</v>
      </c>
      <c r="D22" s="7">
        <f t="shared" si="2"/>
        <v>15677.4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26" t="s">
        <v>307</v>
      </c>
      <c r="C23" s="42">
        <v>35000.0</v>
      </c>
      <c r="D23" s="7">
        <f t="shared" si="2"/>
        <v>21000</v>
      </c>
      <c r="E23" s="7">
        <f t="shared" ref="E23:F23" si="25">if($D23&lt;15000,$D23*12/100,15000*12/100)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26" t="s">
        <v>308</v>
      </c>
      <c r="C24" s="42">
        <v>32000.0</v>
      </c>
      <c r="D24" s="7">
        <f t="shared" si="2"/>
        <v>19200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26" t="s">
        <v>309</v>
      </c>
      <c r="C25" s="42">
        <v>27000.0</v>
      </c>
      <c r="D25" s="7">
        <f t="shared" si="2"/>
        <v>16200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26" t="s">
        <v>310</v>
      </c>
      <c r="C26" s="42">
        <v>23000.0</v>
      </c>
      <c r="D26" s="7">
        <f t="shared" si="2"/>
        <v>13800</v>
      </c>
      <c r="E26" s="7">
        <f t="shared" ref="E26:F26" si="28">if($D26&lt;15000,$D26*12/100,15000*12/100)</f>
        <v>1656</v>
      </c>
      <c r="F26" s="7">
        <f t="shared" si="28"/>
        <v>1656</v>
      </c>
      <c r="G26" s="7">
        <f t="shared" si="4"/>
        <v>3312</v>
      </c>
    </row>
    <row r="27">
      <c r="A27" s="8">
        <f t="shared" si="5"/>
        <v>26</v>
      </c>
      <c r="B27" s="26" t="s">
        <v>311</v>
      </c>
      <c r="C27" s="42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26" t="s">
        <v>312</v>
      </c>
      <c r="C28" s="42">
        <v>22258.0</v>
      </c>
      <c r="D28" s="7">
        <f t="shared" si="2"/>
        <v>13354.8</v>
      </c>
      <c r="E28" s="7">
        <f t="shared" ref="E28:F28" si="30">if($D28&lt;15000,$D28*12/100,15000*12/100)</f>
        <v>1602.576</v>
      </c>
      <c r="F28" s="7">
        <f t="shared" si="30"/>
        <v>1602.576</v>
      </c>
      <c r="G28" s="7">
        <f t="shared" si="4"/>
        <v>3205.152</v>
      </c>
    </row>
    <row r="29">
      <c r="A29" s="8">
        <f t="shared" si="5"/>
        <v>28</v>
      </c>
      <c r="B29" s="26" t="s">
        <v>313</v>
      </c>
      <c r="C29" s="42">
        <v>20468.0</v>
      </c>
      <c r="D29" s="7">
        <f t="shared" si="2"/>
        <v>12280.8</v>
      </c>
      <c r="E29" s="7">
        <f t="shared" ref="E29:F29" si="31">if($D29&lt;15000,$D29*12/100,15000*12/100)</f>
        <v>1473.696</v>
      </c>
      <c r="F29" s="7">
        <f t="shared" si="31"/>
        <v>1473.696</v>
      </c>
      <c r="G29" s="7">
        <f t="shared" si="4"/>
        <v>2947.392</v>
      </c>
    </row>
    <row r="30">
      <c r="A30" s="8">
        <f t="shared" si="5"/>
        <v>29</v>
      </c>
      <c r="B30" s="26" t="s">
        <v>314</v>
      </c>
      <c r="C30" s="42">
        <v>24194.0</v>
      </c>
      <c r="D30" s="7">
        <f t="shared" si="2"/>
        <v>14516.4</v>
      </c>
      <c r="E30" s="7">
        <f t="shared" ref="E30:F30" si="32">if($D30&lt;15000,$D30*12/100,15000*12/100)</f>
        <v>1741.968</v>
      </c>
      <c r="F30" s="7">
        <f t="shared" si="32"/>
        <v>1741.968</v>
      </c>
      <c r="G30" s="7">
        <f t="shared" si="4"/>
        <v>3483.936</v>
      </c>
    </row>
    <row r="31">
      <c r="A31" s="8">
        <f t="shared" si="5"/>
        <v>30</v>
      </c>
      <c r="B31" s="26" t="s">
        <v>315</v>
      </c>
      <c r="C31" s="42">
        <v>17774.0</v>
      </c>
      <c r="D31" s="7">
        <f t="shared" si="2"/>
        <v>10664.4</v>
      </c>
      <c r="E31" s="7">
        <f t="shared" ref="E31:F31" si="33">if($D31&lt;15000,$D31*12/100,15000*12/100)</f>
        <v>1279.728</v>
      </c>
      <c r="F31" s="7">
        <f t="shared" si="33"/>
        <v>1279.728</v>
      </c>
      <c r="G31" s="7">
        <f t="shared" si="4"/>
        <v>2559.456</v>
      </c>
    </row>
    <row r="32">
      <c r="A32" s="8">
        <f t="shared" si="5"/>
        <v>31</v>
      </c>
      <c r="B32" s="26" t="s">
        <v>316</v>
      </c>
      <c r="C32" s="42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26" t="s">
        <v>317</v>
      </c>
      <c r="C33" s="42">
        <v>25258.0</v>
      </c>
      <c r="D33" s="7">
        <f t="shared" si="2"/>
        <v>15154.8</v>
      </c>
      <c r="E33" s="7">
        <f t="shared" ref="E33:F33" si="35">if($D33&lt;15000,$D33*12/100,15000*12/100)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26" t="s">
        <v>318</v>
      </c>
      <c r="C34" s="42">
        <v>24000.0</v>
      </c>
      <c r="D34" s="7">
        <f t="shared" si="2"/>
        <v>14400</v>
      </c>
      <c r="E34" s="7">
        <f t="shared" ref="E34:F34" si="36">if($D34&lt;15000,$D34*12/100,15000*12/100)</f>
        <v>1728</v>
      </c>
      <c r="F34" s="7">
        <f t="shared" si="36"/>
        <v>1728</v>
      </c>
      <c r="G34" s="7">
        <f t="shared" si="4"/>
        <v>3456</v>
      </c>
    </row>
    <row r="35">
      <c r="A35" s="8">
        <f t="shared" si="5"/>
        <v>34</v>
      </c>
      <c r="B35" s="26" t="s">
        <v>319</v>
      </c>
      <c r="C35" s="42">
        <v>22452.0</v>
      </c>
      <c r="D35" s="7">
        <f t="shared" si="2"/>
        <v>13471.2</v>
      </c>
      <c r="E35" s="7">
        <f t="shared" ref="E35:F35" si="37">if($D35&lt;15000,$D35*12/100,15000*12/100)</f>
        <v>1616.544</v>
      </c>
      <c r="F35" s="7">
        <f t="shared" si="37"/>
        <v>1616.544</v>
      </c>
      <c r="G35" s="7">
        <f t="shared" si="4"/>
        <v>3233.088</v>
      </c>
    </row>
    <row r="36">
      <c r="A36" s="8">
        <f t="shared" si="5"/>
        <v>35</v>
      </c>
      <c r="B36" s="26" t="s">
        <v>320</v>
      </c>
      <c r="C36" s="42">
        <v>22000.0</v>
      </c>
      <c r="D36" s="7">
        <f t="shared" si="2"/>
        <v>13200</v>
      </c>
      <c r="E36" s="7">
        <f t="shared" ref="E36:F36" si="38">if($D36&lt;15000,$D36*12/100,15000*12/100)</f>
        <v>1584</v>
      </c>
      <c r="F36" s="7">
        <f t="shared" si="38"/>
        <v>1584</v>
      </c>
      <c r="G36" s="7">
        <f t="shared" si="4"/>
        <v>3168</v>
      </c>
    </row>
    <row r="37">
      <c r="A37" s="8">
        <f t="shared" si="5"/>
        <v>36</v>
      </c>
      <c r="B37" s="26" t="s">
        <v>321</v>
      </c>
      <c r="C37" s="42">
        <v>15355.0</v>
      </c>
      <c r="D37" s="7">
        <f t="shared" si="2"/>
        <v>9213</v>
      </c>
      <c r="E37" s="7">
        <f t="shared" ref="E37:F37" si="39">if($D37&lt;15000,$D37*12/100,15000*12/100)</f>
        <v>1105.56</v>
      </c>
      <c r="F37" s="7">
        <f t="shared" si="39"/>
        <v>1105.56</v>
      </c>
      <c r="G37" s="7">
        <f t="shared" si="4"/>
        <v>2211.12</v>
      </c>
    </row>
    <row r="38">
      <c r="A38" s="8">
        <f t="shared" si="5"/>
        <v>37</v>
      </c>
      <c r="B38" s="30" t="s">
        <v>322</v>
      </c>
      <c r="C38" s="42">
        <v>12581.0</v>
      </c>
      <c r="D38" s="7">
        <f t="shared" si="2"/>
        <v>7548.6</v>
      </c>
      <c r="E38" s="7">
        <f t="shared" ref="E38:F38" si="40">if($D38&lt;15000,$D38*12/100,15000*12/100)</f>
        <v>905.832</v>
      </c>
      <c r="F38" s="7">
        <f t="shared" si="40"/>
        <v>905.832</v>
      </c>
      <c r="G38" s="7">
        <f t="shared" si="4"/>
        <v>1811.664</v>
      </c>
    </row>
    <row r="39">
      <c r="A39" s="8">
        <f t="shared" si="5"/>
        <v>38</v>
      </c>
      <c r="B39" s="30" t="s">
        <v>323</v>
      </c>
      <c r="C39" s="42">
        <v>15000.0</v>
      </c>
      <c r="D39" s="7">
        <f t="shared" si="2"/>
        <v>9000</v>
      </c>
      <c r="E39" s="7">
        <f t="shared" ref="E39:F39" si="41">if($D39&lt;15000,$D39*12/100,15000*12/100)</f>
        <v>1080</v>
      </c>
      <c r="F39" s="7">
        <f t="shared" si="41"/>
        <v>1080</v>
      </c>
      <c r="G39" s="7">
        <f t="shared" si="4"/>
        <v>2160</v>
      </c>
    </row>
    <row r="40">
      <c r="A40" s="8">
        <f t="shared" si="5"/>
        <v>39</v>
      </c>
      <c r="B40" s="30" t="s">
        <v>324</v>
      </c>
      <c r="C40" s="42">
        <v>15000.0</v>
      </c>
      <c r="D40" s="7">
        <f t="shared" si="2"/>
        <v>9000</v>
      </c>
      <c r="E40" s="7">
        <f t="shared" ref="E40:F40" si="42">if($D40&lt;15000,$D40*12/100,15000*12/100)</f>
        <v>1080</v>
      </c>
      <c r="F40" s="7">
        <f t="shared" si="42"/>
        <v>1080</v>
      </c>
      <c r="G40" s="7">
        <f t="shared" si="4"/>
        <v>2160</v>
      </c>
    </row>
    <row r="41">
      <c r="A41" s="8">
        <f t="shared" si="5"/>
        <v>40</v>
      </c>
      <c r="B41" s="30" t="s">
        <v>325</v>
      </c>
      <c r="C41" s="42">
        <v>21000.0</v>
      </c>
      <c r="D41" s="7">
        <f t="shared" si="2"/>
        <v>12600</v>
      </c>
      <c r="E41" s="7">
        <f t="shared" ref="E41:F41" si="43">if($D41&lt;15000,$D41*12/100,15000*12/100)</f>
        <v>1512</v>
      </c>
      <c r="F41" s="7">
        <f t="shared" si="43"/>
        <v>1512</v>
      </c>
      <c r="G41" s="7">
        <f t="shared" si="4"/>
        <v>3024</v>
      </c>
    </row>
    <row r="42">
      <c r="A42" s="8">
        <f t="shared" si="5"/>
        <v>41</v>
      </c>
      <c r="B42" s="30" t="s">
        <v>326</v>
      </c>
      <c r="C42" s="42">
        <v>15000.0</v>
      </c>
      <c r="D42" s="7">
        <f t="shared" si="2"/>
        <v>9000</v>
      </c>
      <c r="E42" s="7">
        <f t="shared" ref="E42:F42" si="44">if($D42&lt;15000,$D42*12/100,15000*12/100)</f>
        <v>1080</v>
      </c>
      <c r="F42" s="7">
        <f t="shared" si="44"/>
        <v>1080</v>
      </c>
      <c r="G42" s="7">
        <f t="shared" si="4"/>
        <v>2160</v>
      </c>
    </row>
    <row r="43">
      <c r="A43" s="8">
        <f t="shared" si="5"/>
        <v>42</v>
      </c>
      <c r="B43" s="30" t="s">
        <v>327</v>
      </c>
      <c r="C43" s="42">
        <v>20323.0</v>
      </c>
      <c r="D43" s="7">
        <f t="shared" si="2"/>
        <v>12193.8</v>
      </c>
      <c r="E43" s="7">
        <f t="shared" ref="E43:F43" si="45">if($D43&lt;15000,$D43*12/100,15000*12/100)</f>
        <v>1463.256</v>
      </c>
      <c r="F43" s="7">
        <f t="shared" si="45"/>
        <v>1463.256</v>
      </c>
      <c r="G43" s="7">
        <f t="shared" si="4"/>
        <v>2926.512</v>
      </c>
    </row>
    <row r="44">
      <c r="A44" s="8">
        <f t="shared" si="5"/>
        <v>43</v>
      </c>
      <c r="B44" s="30" t="s">
        <v>328</v>
      </c>
      <c r="C44" s="42">
        <v>25000.0</v>
      </c>
      <c r="D44" s="7">
        <f t="shared" si="2"/>
        <v>15000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30" t="s">
        <v>329</v>
      </c>
      <c r="C45" s="42">
        <v>12194.0</v>
      </c>
      <c r="D45" s="7">
        <f t="shared" si="2"/>
        <v>7316.4</v>
      </c>
      <c r="E45" s="7">
        <f t="shared" ref="E45:F45" si="47">if($D45&lt;15000,$D45*12/100,15000*12/100)</f>
        <v>877.968</v>
      </c>
      <c r="F45" s="7">
        <f t="shared" si="47"/>
        <v>877.968</v>
      </c>
      <c r="G45" s="7">
        <f t="shared" si="4"/>
        <v>1755.936</v>
      </c>
    </row>
    <row r="46">
      <c r="A46" s="8">
        <f t="shared" si="5"/>
        <v>45</v>
      </c>
      <c r="B46" s="30" t="s">
        <v>330</v>
      </c>
      <c r="C46" s="42">
        <v>5484.0</v>
      </c>
      <c r="D46" s="7">
        <f t="shared" si="2"/>
        <v>3290.4</v>
      </c>
      <c r="E46" s="7">
        <f t="shared" ref="E46:F46" si="48">if($D46&lt;15000,$D46*12/100,15000*12/100)</f>
        <v>394.848</v>
      </c>
      <c r="F46" s="7">
        <f t="shared" si="48"/>
        <v>394.848</v>
      </c>
      <c r="G46" s="7">
        <f t="shared" si="4"/>
        <v>789.696</v>
      </c>
    </row>
    <row r="47">
      <c r="A47" s="8">
        <f t="shared" si="5"/>
        <v>46</v>
      </c>
      <c r="B47" s="30" t="s">
        <v>331</v>
      </c>
      <c r="C47" s="42">
        <v>15484.0</v>
      </c>
      <c r="D47" s="7">
        <f t="shared" si="2"/>
        <v>9290.4</v>
      </c>
      <c r="E47" s="7">
        <f t="shared" ref="E47:F47" si="49">if($D47&lt;15000,$D47*12/100,15000*12/100)</f>
        <v>1114.848</v>
      </c>
      <c r="F47" s="7">
        <f t="shared" si="49"/>
        <v>1114.848</v>
      </c>
      <c r="G47" s="7">
        <f t="shared" si="4"/>
        <v>2229.696</v>
      </c>
    </row>
    <row r="48">
      <c r="A48" s="8">
        <f t="shared" si="5"/>
        <v>47</v>
      </c>
      <c r="B48" s="30" t="s">
        <v>332</v>
      </c>
      <c r="C48" s="42">
        <v>19000.0</v>
      </c>
      <c r="D48" s="7">
        <f t="shared" si="2"/>
        <v>11400</v>
      </c>
      <c r="E48" s="7">
        <f t="shared" ref="E48:F48" si="50">if($D48&lt;15000,$D48*12/100,15000*12/100)</f>
        <v>1368</v>
      </c>
      <c r="F48" s="7">
        <f t="shared" si="50"/>
        <v>1368</v>
      </c>
      <c r="G48" s="7">
        <f t="shared" si="4"/>
        <v>2736</v>
      </c>
    </row>
    <row r="49">
      <c r="A49" s="8">
        <f t="shared" si="5"/>
        <v>48</v>
      </c>
      <c r="B49" s="30" t="s">
        <v>333</v>
      </c>
      <c r="C49" s="42">
        <v>17000.0</v>
      </c>
      <c r="D49" s="7">
        <f t="shared" si="2"/>
        <v>10200</v>
      </c>
      <c r="E49" s="7">
        <f t="shared" ref="E49:F49" si="51">if($D49&lt;15000,$D49*12/100,15000*12/100)</f>
        <v>1224</v>
      </c>
      <c r="F49" s="7">
        <f t="shared" si="51"/>
        <v>1224</v>
      </c>
      <c r="G49" s="7">
        <f t="shared" si="4"/>
        <v>2448</v>
      </c>
    </row>
    <row r="50">
      <c r="A50" s="8">
        <f t="shared" si="5"/>
        <v>49</v>
      </c>
      <c r="B50" s="30" t="s">
        <v>334</v>
      </c>
      <c r="C50" s="42">
        <v>20000.0</v>
      </c>
      <c r="D50" s="7">
        <f t="shared" si="2"/>
        <v>12000</v>
      </c>
      <c r="E50" s="7">
        <f t="shared" ref="E50:F50" si="52">if($D50&lt;15000,$D50*12/100,15000*12/100)</f>
        <v>1440</v>
      </c>
      <c r="F50" s="7">
        <f t="shared" si="52"/>
        <v>1440</v>
      </c>
      <c r="G50" s="7">
        <f t="shared" si="4"/>
        <v>2880</v>
      </c>
    </row>
    <row r="51">
      <c r="A51" s="8">
        <f t="shared" si="5"/>
        <v>50</v>
      </c>
      <c r="B51" s="30" t="s">
        <v>335</v>
      </c>
      <c r="C51" s="42">
        <v>16000.0</v>
      </c>
      <c r="D51" s="7">
        <f t="shared" si="2"/>
        <v>9600</v>
      </c>
      <c r="E51" s="7">
        <f t="shared" ref="E51:F51" si="53">if($D51&lt;15000,$D51*12/100,15000*12/100)</f>
        <v>1152</v>
      </c>
      <c r="F51" s="7">
        <f t="shared" si="53"/>
        <v>1152</v>
      </c>
      <c r="G51" s="7">
        <f t="shared" si="4"/>
        <v>2304</v>
      </c>
    </row>
    <row r="52">
      <c r="A52" s="8">
        <f t="shared" si="5"/>
        <v>51</v>
      </c>
      <c r="B52" s="30" t="s">
        <v>336</v>
      </c>
      <c r="C52" s="42">
        <v>17000.0</v>
      </c>
      <c r="D52" s="7">
        <f t="shared" si="2"/>
        <v>10200</v>
      </c>
      <c r="E52" s="7">
        <f t="shared" ref="E52:F52" si="54">if($D52&lt;15000,$D52*12/100,15000*12/100)</f>
        <v>1224</v>
      </c>
      <c r="F52" s="7">
        <f t="shared" si="54"/>
        <v>1224</v>
      </c>
      <c r="G52" s="7">
        <f t="shared" si="4"/>
        <v>2448</v>
      </c>
    </row>
    <row r="53">
      <c r="A53" s="8">
        <f t="shared" si="5"/>
        <v>52</v>
      </c>
      <c r="B53" s="30" t="s">
        <v>337</v>
      </c>
      <c r="C53" s="42">
        <v>14032.0</v>
      </c>
      <c r="D53" s="7">
        <f t="shared" si="2"/>
        <v>8419.2</v>
      </c>
      <c r="E53" s="7">
        <f t="shared" ref="E53:F53" si="55">if($D53&lt;15000,$D53*12/100,15000*12/100)</f>
        <v>1010.304</v>
      </c>
      <c r="F53" s="7">
        <f t="shared" si="55"/>
        <v>1010.304</v>
      </c>
      <c r="G53" s="7">
        <f t="shared" si="4"/>
        <v>2020.608</v>
      </c>
    </row>
    <row r="54">
      <c r="A54" s="8">
        <f t="shared" si="5"/>
        <v>53</v>
      </c>
      <c r="B54" s="30" t="s">
        <v>338</v>
      </c>
      <c r="C54" s="42">
        <v>19355.0</v>
      </c>
      <c r="D54" s="7">
        <f t="shared" si="2"/>
        <v>11613</v>
      </c>
      <c r="E54" s="7">
        <f t="shared" ref="E54:F54" si="56">if($D54&lt;15000,$D54*12/100,15000*12/100)</f>
        <v>1393.56</v>
      </c>
      <c r="F54" s="7">
        <f t="shared" si="56"/>
        <v>1393.56</v>
      </c>
      <c r="G54" s="7">
        <f t="shared" si="4"/>
        <v>2787.12</v>
      </c>
    </row>
    <row r="55">
      <c r="A55" s="8">
        <f t="shared" si="5"/>
        <v>54</v>
      </c>
      <c r="B55" s="30" t="s">
        <v>339</v>
      </c>
      <c r="C55" s="42">
        <v>13548.0</v>
      </c>
      <c r="D55" s="7">
        <f t="shared" si="2"/>
        <v>8128.8</v>
      </c>
      <c r="E55" s="7">
        <f t="shared" ref="E55:F55" si="57">if($D55&lt;15000,$D55*12/100,15000*12/100)</f>
        <v>975.456</v>
      </c>
      <c r="F55" s="7">
        <f t="shared" si="57"/>
        <v>975.456</v>
      </c>
      <c r="G55" s="7">
        <f t="shared" si="4"/>
        <v>1950.912</v>
      </c>
    </row>
    <row r="56">
      <c r="A56" s="8">
        <f t="shared" si="5"/>
        <v>55</v>
      </c>
      <c r="B56" s="30" t="s">
        <v>340</v>
      </c>
      <c r="C56" s="42">
        <v>19000.0</v>
      </c>
      <c r="D56" s="7">
        <f t="shared" si="2"/>
        <v>11400</v>
      </c>
      <c r="E56" s="7">
        <f t="shared" ref="E56:F56" si="58">if($D56&lt;15000,$D56*12/100,15000*12/100)</f>
        <v>1368</v>
      </c>
      <c r="F56" s="7">
        <f t="shared" si="58"/>
        <v>1368</v>
      </c>
      <c r="G56" s="7">
        <f t="shared" si="4"/>
        <v>2736</v>
      </c>
    </row>
    <row r="57">
      <c r="A57" s="8">
        <f t="shared" si="5"/>
        <v>56</v>
      </c>
      <c r="B57" s="30" t="s">
        <v>341</v>
      </c>
      <c r="C57" s="42">
        <v>21290.0</v>
      </c>
      <c r="D57" s="7">
        <f t="shared" si="2"/>
        <v>12774</v>
      </c>
      <c r="E57" s="7">
        <f t="shared" ref="E57:F57" si="59">if($D57&lt;15000,$D57*12/100,15000*12/100)</f>
        <v>1532.88</v>
      </c>
      <c r="F57" s="7">
        <f t="shared" si="59"/>
        <v>1532.88</v>
      </c>
      <c r="G57" s="7">
        <f t="shared" si="4"/>
        <v>3065.76</v>
      </c>
    </row>
    <row r="58">
      <c r="A58" s="8">
        <f t="shared" si="5"/>
        <v>57</v>
      </c>
      <c r="B58" s="30" t="s">
        <v>342</v>
      </c>
      <c r="C58" s="42">
        <v>18065.0</v>
      </c>
      <c r="D58" s="7">
        <f t="shared" si="2"/>
        <v>10839</v>
      </c>
      <c r="E58" s="7">
        <f t="shared" ref="E58:F58" si="60">if($D58&lt;15000,$D58*12/100,15000*12/100)</f>
        <v>1300.68</v>
      </c>
      <c r="F58" s="7">
        <f t="shared" si="60"/>
        <v>1300.68</v>
      </c>
      <c r="G58" s="7">
        <f t="shared" si="4"/>
        <v>2601.36</v>
      </c>
    </row>
    <row r="59">
      <c r="A59" s="8">
        <f t="shared" si="5"/>
        <v>58</v>
      </c>
      <c r="B59" s="30" t="s">
        <v>343</v>
      </c>
      <c r="C59" s="42">
        <v>14258.0</v>
      </c>
      <c r="D59" s="7">
        <f t="shared" si="2"/>
        <v>8554.8</v>
      </c>
      <c r="E59" s="7">
        <f t="shared" ref="E59:F59" si="61">if($D59&lt;15000,$D59*12/100,15000*12/100)</f>
        <v>1026.576</v>
      </c>
      <c r="F59" s="7">
        <f t="shared" si="61"/>
        <v>1026.576</v>
      </c>
      <c r="G59" s="7">
        <f t="shared" si="4"/>
        <v>2053.152</v>
      </c>
    </row>
    <row r="60">
      <c r="A60" s="8">
        <f t="shared" si="5"/>
        <v>59</v>
      </c>
      <c r="B60" s="30" t="s">
        <v>344</v>
      </c>
      <c r="C60" s="42">
        <v>13548.0</v>
      </c>
      <c r="D60" s="7">
        <f t="shared" si="2"/>
        <v>8128.8</v>
      </c>
      <c r="E60" s="7">
        <f t="shared" ref="E60:F60" si="62">if($D60&lt;15000,$D60*12/100,15000*12/100)</f>
        <v>975.456</v>
      </c>
      <c r="F60" s="7">
        <f t="shared" si="62"/>
        <v>975.456</v>
      </c>
      <c r="G60" s="7">
        <f t="shared" si="4"/>
        <v>1950.912</v>
      </c>
    </row>
    <row r="61">
      <c r="A61" s="8">
        <f t="shared" si="5"/>
        <v>60</v>
      </c>
      <c r="B61" s="30" t="s">
        <v>345</v>
      </c>
      <c r="C61" s="42">
        <v>14968.0</v>
      </c>
      <c r="D61" s="7">
        <f t="shared" si="2"/>
        <v>8980.8</v>
      </c>
      <c r="E61" s="7">
        <f t="shared" ref="E61:F61" si="63">if($D61&lt;15000,$D61*12/100,15000*12/100)</f>
        <v>1077.696</v>
      </c>
      <c r="F61" s="7">
        <f t="shared" si="63"/>
        <v>1077.696</v>
      </c>
      <c r="G61" s="7">
        <f t="shared" si="4"/>
        <v>2155.392</v>
      </c>
    </row>
    <row r="62">
      <c r="A62" s="8">
        <f t="shared" si="5"/>
        <v>61</v>
      </c>
      <c r="B62" s="24" t="s">
        <v>346</v>
      </c>
      <c r="C62" s="42">
        <v>20000.0</v>
      </c>
      <c r="D62" s="7">
        <f t="shared" si="2"/>
        <v>12000</v>
      </c>
      <c r="E62" s="7">
        <f t="shared" ref="E62:F62" si="64">if($D62&lt;15000,$D62*12/100,15000*12/100)</f>
        <v>1440</v>
      </c>
      <c r="F62" s="7">
        <f t="shared" si="64"/>
        <v>1440</v>
      </c>
      <c r="G62" s="7">
        <f t="shared" si="4"/>
        <v>2880</v>
      </c>
    </row>
    <row r="63">
      <c r="A63" s="8">
        <f t="shared" si="5"/>
        <v>62</v>
      </c>
      <c r="B63" s="24" t="s">
        <v>347</v>
      </c>
      <c r="C63" s="42">
        <v>12000.0</v>
      </c>
      <c r="D63" s="7">
        <f t="shared" si="2"/>
        <v>7200</v>
      </c>
      <c r="E63" s="7">
        <f t="shared" ref="E63:F63" si="65">if($D63&lt;15000,$D63*12/100,15000*12/100)</f>
        <v>864</v>
      </c>
      <c r="F63" s="7">
        <f t="shared" si="65"/>
        <v>864</v>
      </c>
      <c r="G63" s="7">
        <f t="shared" si="4"/>
        <v>1728</v>
      </c>
    </row>
    <row r="64">
      <c r="A64" s="8">
        <f t="shared" si="5"/>
        <v>63</v>
      </c>
      <c r="B64" s="24" t="s">
        <v>348</v>
      </c>
      <c r="C64" s="42">
        <v>15484.0</v>
      </c>
      <c r="D64" s="7">
        <f t="shared" si="2"/>
        <v>9290.4</v>
      </c>
      <c r="E64" s="7">
        <f t="shared" ref="E64:F64" si="66">if($D64&lt;15000,$D64*12/100,15000*12/100)</f>
        <v>1114.848</v>
      </c>
      <c r="F64" s="7">
        <f t="shared" si="66"/>
        <v>1114.848</v>
      </c>
      <c r="G64" s="7">
        <f t="shared" si="4"/>
        <v>2229.696</v>
      </c>
    </row>
    <row r="65">
      <c r="A65" s="8">
        <f t="shared" si="5"/>
        <v>64</v>
      </c>
      <c r="B65" s="24" t="s">
        <v>349</v>
      </c>
      <c r="C65" s="42">
        <v>15000.0</v>
      </c>
      <c r="D65" s="7">
        <f t="shared" si="2"/>
        <v>9000</v>
      </c>
      <c r="E65" s="7">
        <f t="shared" ref="E65:F65" si="67">if($D65&lt;15000,$D65*12/100,15000*12/100)</f>
        <v>1080</v>
      </c>
      <c r="F65" s="7">
        <f t="shared" si="67"/>
        <v>1080</v>
      </c>
      <c r="G65" s="7">
        <f t="shared" si="4"/>
        <v>2160</v>
      </c>
    </row>
    <row r="66">
      <c r="A66" s="8">
        <f t="shared" si="5"/>
        <v>65</v>
      </c>
      <c r="B66" s="47" t="s">
        <v>350</v>
      </c>
      <c r="C66" s="42">
        <v>30000.0</v>
      </c>
      <c r="D66" s="7">
        <f t="shared" si="2"/>
        <v>18000</v>
      </c>
      <c r="E66" s="7">
        <f t="shared" ref="E66:F66" si="68">if($D66&lt;15000,$D66*12/100,15000*12/100)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30" t="s">
        <v>351</v>
      </c>
      <c r="C67" s="42">
        <v>25000.0</v>
      </c>
      <c r="D67" s="7">
        <f t="shared" si="2"/>
        <v>15000</v>
      </c>
      <c r="E67" s="7">
        <f t="shared" ref="E67:F67" si="69">if($D67&lt;15000,$D67*12/100,15000*12/100)</f>
        <v>1800</v>
      </c>
      <c r="F67" s="7">
        <f t="shared" si="69"/>
        <v>1800</v>
      </c>
      <c r="G67" s="7">
        <f t="shared" si="4"/>
        <v>3600</v>
      </c>
    </row>
    <row r="68">
      <c r="A68" s="8">
        <f t="shared" si="5"/>
        <v>67</v>
      </c>
      <c r="B68" s="30" t="s">
        <v>352</v>
      </c>
      <c r="C68" s="42">
        <v>16452.0</v>
      </c>
      <c r="D68" s="7">
        <f t="shared" si="2"/>
        <v>9871.2</v>
      </c>
      <c r="E68" s="7">
        <f t="shared" ref="E68:F68" si="70">if($D68&lt;15000,$D68*12/100,15000*12/100)</f>
        <v>1184.544</v>
      </c>
      <c r="F68" s="7">
        <f t="shared" si="70"/>
        <v>1184.544</v>
      </c>
      <c r="G68" s="7">
        <f t="shared" si="4"/>
        <v>2369.088</v>
      </c>
    </row>
    <row r="69">
      <c r="A69" s="8">
        <f t="shared" si="5"/>
        <v>68</v>
      </c>
      <c r="B69" s="30" t="s">
        <v>353</v>
      </c>
      <c r="C69" s="42">
        <v>22000.0</v>
      </c>
      <c r="D69" s="7">
        <f t="shared" si="2"/>
        <v>13200</v>
      </c>
      <c r="E69" s="7">
        <f t="shared" ref="E69:F69" si="71">if($D69&lt;15000,$D69*12/100,15000*12/100)</f>
        <v>1584</v>
      </c>
      <c r="F69" s="7">
        <f t="shared" si="71"/>
        <v>1584</v>
      </c>
      <c r="G69" s="7">
        <f t="shared" si="4"/>
        <v>3168</v>
      </c>
    </row>
    <row r="70">
      <c r="A70" s="8">
        <f t="shared" si="5"/>
        <v>69</v>
      </c>
      <c r="B70" s="48" t="s">
        <v>354</v>
      </c>
      <c r="C70" s="42">
        <v>22000.0</v>
      </c>
      <c r="D70" s="7">
        <f t="shared" si="2"/>
        <v>13200</v>
      </c>
      <c r="E70" s="7">
        <f t="shared" ref="E70:F70" si="72">if($D70&lt;15000,$D70*12/100,15000*12/100)</f>
        <v>1584</v>
      </c>
      <c r="F70" s="7">
        <f t="shared" si="72"/>
        <v>1584</v>
      </c>
      <c r="G70" s="7">
        <f t="shared" si="4"/>
        <v>3168</v>
      </c>
    </row>
    <row r="71">
      <c r="A71" s="8">
        <f t="shared" si="5"/>
        <v>70</v>
      </c>
      <c r="B71" s="47" t="s">
        <v>355</v>
      </c>
      <c r="C71" s="42">
        <v>23000.0</v>
      </c>
      <c r="D71" s="7">
        <f t="shared" si="2"/>
        <v>13800</v>
      </c>
      <c r="E71" s="7">
        <f t="shared" ref="E71:F71" si="73">if($D71&lt;15000,$D71*12/100,15000*12/100)</f>
        <v>1656</v>
      </c>
      <c r="F71" s="7">
        <f t="shared" si="73"/>
        <v>1656</v>
      </c>
      <c r="G71" s="7">
        <f t="shared" si="4"/>
        <v>3312</v>
      </c>
    </row>
    <row r="72">
      <c r="A72" s="8">
        <f t="shared" si="5"/>
        <v>71</v>
      </c>
      <c r="B72" s="47" t="s">
        <v>356</v>
      </c>
      <c r="C72" s="42">
        <v>9000.0</v>
      </c>
      <c r="D72" s="7">
        <f t="shared" si="2"/>
        <v>5400</v>
      </c>
      <c r="E72" s="7">
        <f t="shared" ref="E72:F72" si="74">if($D72&lt;15000,$D72*12/100,15000*12/100)</f>
        <v>648</v>
      </c>
      <c r="F72" s="7">
        <f t="shared" si="74"/>
        <v>648</v>
      </c>
      <c r="G72" s="7">
        <f t="shared" si="4"/>
        <v>1296</v>
      </c>
    </row>
    <row r="73">
      <c r="A73" s="8">
        <f t="shared" si="5"/>
        <v>72</v>
      </c>
      <c r="B73" s="47" t="s">
        <v>357</v>
      </c>
      <c r="C73" s="42">
        <v>10000.0</v>
      </c>
      <c r="D73" s="7">
        <f t="shared" si="2"/>
        <v>6000</v>
      </c>
      <c r="E73" s="7">
        <f t="shared" ref="E73:F73" si="75">if($D73&lt;15000,$D73*12/100,15000*12/100)</f>
        <v>720</v>
      </c>
      <c r="F73" s="7">
        <f t="shared" si="75"/>
        <v>720</v>
      </c>
      <c r="G73" s="7">
        <f t="shared" si="4"/>
        <v>1440</v>
      </c>
    </row>
    <row r="74">
      <c r="A74" s="8">
        <f t="shared" si="5"/>
        <v>73</v>
      </c>
      <c r="B74" s="47" t="s">
        <v>358</v>
      </c>
      <c r="C74" s="42">
        <v>6774.0</v>
      </c>
      <c r="D74" s="7">
        <f t="shared" si="2"/>
        <v>4064.4</v>
      </c>
      <c r="E74" s="7">
        <f t="shared" ref="E74:F74" si="76">if($D74&lt;15000,$D74*12/100,15000*12/100)</f>
        <v>487.728</v>
      </c>
      <c r="F74" s="7">
        <f t="shared" si="76"/>
        <v>487.728</v>
      </c>
      <c r="G74" s="7">
        <f t="shared" si="4"/>
        <v>975.456</v>
      </c>
    </row>
    <row r="75">
      <c r="A75" s="8">
        <f t="shared" si="5"/>
        <v>74</v>
      </c>
      <c r="B75" s="47" t="s">
        <v>359</v>
      </c>
      <c r="C75" s="42">
        <v>7484.0</v>
      </c>
      <c r="D75" s="7">
        <f t="shared" si="2"/>
        <v>4490.4</v>
      </c>
      <c r="E75" s="7">
        <f t="shared" ref="E75:F75" si="77">if($D75&lt;15000,$D75*12/100,15000*12/100)</f>
        <v>538.848</v>
      </c>
      <c r="F75" s="7">
        <f t="shared" si="77"/>
        <v>538.848</v>
      </c>
      <c r="G75" s="7">
        <f t="shared" si="4"/>
        <v>1077.696</v>
      </c>
    </row>
    <row r="76">
      <c r="A76" s="8">
        <f t="shared" si="5"/>
        <v>75</v>
      </c>
      <c r="B76" s="47" t="s">
        <v>360</v>
      </c>
      <c r="C76" s="42">
        <v>9000.0</v>
      </c>
      <c r="D76" s="7">
        <f t="shared" si="2"/>
        <v>5400</v>
      </c>
      <c r="E76" s="7">
        <f t="shared" ref="E76:F76" si="78">if($D76&lt;15000,$D76*12/100,15000*12/100)</f>
        <v>648</v>
      </c>
      <c r="F76" s="7">
        <f t="shared" si="78"/>
        <v>648</v>
      </c>
      <c r="G76" s="7">
        <f t="shared" si="4"/>
        <v>1296</v>
      </c>
    </row>
    <row r="77">
      <c r="A77" s="8">
        <f t="shared" si="5"/>
        <v>76</v>
      </c>
      <c r="B77" s="47" t="s">
        <v>361</v>
      </c>
      <c r="C77" s="42">
        <v>20000.0</v>
      </c>
      <c r="D77" s="7">
        <f t="shared" si="2"/>
        <v>12000</v>
      </c>
      <c r="E77" s="7">
        <f t="shared" ref="E77:F77" si="79">if($D77&lt;15000,$D77*12/100,15000*12/100)</f>
        <v>1440</v>
      </c>
      <c r="F77" s="7">
        <f t="shared" si="79"/>
        <v>1440</v>
      </c>
      <c r="G77" s="7">
        <f t="shared" si="4"/>
        <v>2880</v>
      </c>
    </row>
    <row r="78">
      <c r="A78" s="8">
        <f t="shared" si="5"/>
        <v>77</v>
      </c>
      <c r="B78" s="47" t="s">
        <v>375</v>
      </c>
      <c r="C78" s="42">
        <v>29032.0</v>
      </c>
      <c r="D78" s="7">
        <f t="shared" si="2"/>
        <v>17419.2</v>
      </c>
      <c r="E78" s="7">
        <f t="shared" ref="E78:F78" si="80">if($D78&lt;15000,$D78*12/100,15000*12/100)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7" t="s">
        <v>376</v>
      </c>
      <c r="C79" s="42">
        <v>2419.0</v>
      </c>
      <c r="D79" s="7">
        <f t="shared" si="2"/>
        <v>1451.4</v>
      </c>
      <c r="E79" s="7">
        <f t="shared" ref="E79:F79" si="81">if($D79&lt;15000,$D79*12/100,15000*12/100)</f>
        <v>174.168</v>
      </c>
      <c r="F79" s="7">
        <f t="shared" si="81"/>
        <v>174.168</v>
      </c>
      <c r="G79" s="7">
        <f t="shared" si="4"/>
        <v>348.336</v>
      </c>
    </row>
    <row r="80">
      <c r="A80" s="8">
        <f t="shared" si="5"/>
        <v>79</v>
      </c>
      <c r="B80" s="47" t="s">
        <v>377</v>
      </c>
      <c r="C80" s="42">
        <v>1839.0</v>
      </c>
      <c r="D80" s="7">
        <f t="shared" si="2"/>
        <v>1103.4</v>
      </c>
      <c r="E80" s="7">
        <f t="shared" ref="E80:F80" si="82">if($D80&lt;15000,$D80*12/100,15000*12/100)</f>
        <v>132.408</v>
      </c>
      <c r="F80" s="7">
        <f t="shared" si="82"/>
        <v>132.408</v>
      </c>
      <c r="G80" s="7">
        <f t="shared" si="4"/>
        <v>264.816</v>
      </c>
    </row>
    <row r="81">
      <c r="A81" s="8">
        <f t="shared" si="5"/>
        <v>80</v>
      </c>
      <c r="B81" s="44" t="s">
        <v>362</v>
      </c>
      <c r="C81" s="42">
        <v>22258.0</v>
      </c>
      <c r="D81" s="7">
        <f t="shared" si="2"/>
        <v>13354.8</v>
      </c>
      <c r="E81" s="7">
        <f t="shared" ref="E81:F81" si="83">if($D81&lt;15000,$D81*12/100,15000*12/100)</f>
        <v>1602.576</v>
      </c>
      <c r="F81" s="7">
        <f t="shared" si="83"/>
        <v>1602.576</v>
      </c>
      <c r="G81" s="7">
        <f t="shared" si="4"/>
        <v>3205.152</v>
      </c>
    </row>
    <row r="82">
      <c r="A82" s="8">
        <f t="shared" si="5"/>
        <v>81</v>
      </c>
      <c r="B82" s="44" t="s">
        <v>363</v>
      </c>
      <c r="C82" s="42">
        <v>26000.0</v>
      </c>
      <c r="D82" s="7">
        <f t="shared" si="2"/>
        <v>15600</v>
      </c>
      <c r="E82" s="7">
        <f t="shared" ref="E82:F82" si="84">if($D82&lt;15000,$D82*12/100,15000*12/100)</f>
        <v>1800</v>
      </c>
      <c r="F82" s="7">
        <f t="shared" si="84"/>
        <v>1800</v>
      </c>
      <c r="G82" s="7">
        <f t="shared" si="4"/>
        <v>3600</v>
      </c>
    </row>
    <row r="83">
      <c r="A83" s="8">
        <f t="shared" si="5"/>
        <v>82</v>
      </c>
      <c r="B83" s="44" t="s">
        <v>364</v>
      </c>
      <c r="C83" s="42">
        <v>16129.0</v>
      </c>
      <c r="D83" s="7">
        <f t="shared" si="2"/>
        <v>9677.4</v>
      </c>
      <c r="E83" s="7">
        <f t="shared" ref="E83:F83" si="85">if($D83&lt;15000,$D83*12/100,15000*12/100)</f>
        <v>1161.288</v>
      </c>
      <c r="F83" s="7">
        <f t="shared" si="85"/>
        <v>1161.288</v>
      </c>
      <c r="G83" s="7">
        <f t="shared" si="4"/>
        <v>2322.576</v>
      </c>
    </row>
    <row r="84">
      <c r="A84" s="8">
        <f t="shared" si="5"/>
        <v>83</v>
      </c>
      <c r="B84" s="44" t="s">
        <v>365</v>
      </c>
      <c r="C84" s="42">
        <v>23000.0</v>
      </c>
      <c r="D84" s="7">
        <f t="shared" si="2"/>
        <v>13800</v>
      </c>
      <c r="E84" s="7">
        <f t="shared" ref="E84:F84" si="86">if($D84&lt;15000,$D84*12/100,15000*12/100)</f>
        <v>1656</v>
      </c>
      <c r="F84" s="7">
        <f t="shared" si="86"/>
        <v>1656</v>
      </c>
      <c r="G84" s="7">
        <f t="shared" si="4"/>
        <v>3312</v>
      </c>
    </row>
    <row r="85">
      <c r="A85" s="8">
        <f t="shared" si="5"/>
        <v>84</v>
      </c>
      <c r="B85" s="44" t="s">
        <v>367</v>
      </c>
      <c r="C85" s="42">
        <v>13548.0</v>
      </c>
      <c r="D85" s="7">
        <f t="shared" si="2"/>
        <v>8128.8</v>
      </c>
      <c r="E85" s="7">
        <f t="shared" ref="E85:F85" si="87">if($D85&lt;15000,$D85*12/100,15000*12/100)</f>
        <v>975.456</v>
      </c>
      <c r="F85" s="7">
        <f t="shared" si="87"/>
        <v>975.456</v>
      </c>
      <c r="G85" s="7">
        <f t="shared" si="4"/>
        <v>1950.912</v>
      </c>
    </row>
    <row r="86">
      <c r="A86" s="8">
        <f t="shared" si="5"/>
        <v>85</v>
      </c>
      <c r="B86" s="44" t="s">
        <v>368</v>
      </c>
      <c r="C86" s="42">
        <v>15000.0</v>
      </c>
      <c r="D86" s="7">
        <f t="shared" si="2"/>
        <v>9000</v>
      </c>
      <c r="E86" s="7">
        <f t="shared" ref="E86:F86" si="88">if($D86&lt;15000,$D86*12/100,15000*12/100)</f>
        <v>1080</v>
      </c>
      <c r="F86" s="7">
        <f t="shared" si="88"/>
        <v>1080</v>
      </c>
      <c r="G86" s="7">
        <f t="shared" si="4"/>
        <v>2160</v>
      </c>
    </row>
    <row r="87">
      <c r="A87" s="8">
        <f t="shared" si="5"/>
        <v>86</v>
      </c>
      <c r="B87" s="44" t="s">
        <v>369</v>
      </c>
      <c r="C87" s="42">
        <v>14032.0</v>
      </c>
      <c r="D87" s="7">
        <f t="shared" si="2"/>
        <v>8419.2</v>
      </c>
      <c r="E87" s="7">
        <f t="shared" ref="E87:F87" si="89">if($D87&lt;15000,$D87*12/100,15000*12/100)</f>
        <v>1010.304</v>
      </c>
      <c r="F87" s="7">
        <f t="shared" si="89"/>
        <v>1010.304</v>
      </c>
      <c r="G87" s="7">
        <f t="shared" si="4"/>
        <v>2020.608</v>
      </c>
    </row>
    <row r="88">
      <c r="A88" s="8">
        <f t="shared" si="5"/>
        <v>87</v>
      </c>
      <c r="B88" s="30" t="s">
        <v>370</v>
      </c>
      <c r="C88" s="42">
        <v>14032.0</v>
      </c>
      <c r="D88" s="7">
        <f t="shared" si="2"/>
        <v>8419.2</v>
      </c>
      <c r="E88" s="7">
        <f t="shared" ref="E88:F88" si="90">if($D88&lt;15000,$D88*12/100,15000*12/100)</f>
        <v>1010.304</v>
      </c>
      <c r="F88" s="7">
        <f t="shared" si="90"/>
        <v>1010.304</v>
      </c>
      <c r="G88" s="7">
        <f t="shared" si="4"/>
        <v>2020.608</v>
      </c>
    </row>
    <row r="89">
      <c r="A89" s="8">
        <f t="shared" si="5"/>
        <v>88</v>
      </c>
      <c r="B89" s="30" t="s">
        <v>371</v>
      </c>
      <c r="C89" s="42">
        <v>17419.0</v>
      </c>
      <c r="D89" s="7">
        <f t="shared" si="2"/>
        <v>10451.4</v>
      </c>
      <c r="E89" s="7">
        <f t="shared" ref="E89:F89" si="91">if($D89&lt;15000,$D89*12/100,15000*12/100)</f>
        <v>1254.168</v>
      </c>
      <c r="F89" s="7">
        <f t="shared" si="91"/>
        <v>1254.168</v>
      </c>
      <c r="G89" s="7">
        <f t="shared" si="4"/>
        <v>2508.336</v>
      </c>
    </row>
    <row r="90">
      <c r="A90" s="8">
        <f t="shared" si="5"/>
        <v>89</v>
      </c>
      <c r="B90" s="44" t="s">
        <v>372</v>
      </c>
      <c r="C90" s="42">
        <v>14516.0</v>
      </c>
      <c r="D90" s="7">
        <f t="shared" si="2"/>
        <v>8709.6</v>
      </c>
      <c r="E90" s="7">
        <f t="shared" ref="E90:F90" si="92">if($D90&lt;15000,$D90*12/100,15000*12/100)</f>
        <v>1045.152</v>
      </c>
      <c r="F90" s="7">
        <f t="shared" si="92"/>
        <v>1045.152</v>
      </c>
      <c r="G90" s="7">
        <f t="shared" si="4"/>
        <v>2090.304</v>
      </c>
    </row>
    <row r="91">
      <c r="A91" s="8">
        <f t="shared" si="5"/>
        <v>90</v>
      </c>
      <c r="B91" s="44" t="s">
        <v>373</v>
      </c>
      <c r="C91" s="42">
        <v>25000.0</v>
      </c>
      <c r="D91" s="7">
        <f t="shared" si="2"/>
        <v>15000</v>
      </c>
      <c r="E91" s="7">
        <f t="shared" ref="E91:F91" si="93">if($D91&lt;15000,$D91*12/100,15000*12/100)</f>
        <v>1800</v>
      </c>
      <c r="F91" s="7">
        <f t="shared" si="93"/>
        <v>1800</v>
      </c>
      <c r="G91" s="7">
        <f t="shared" si="4"/>
        <v>3600</v>
      </c>
    </row>
    <row r="92">
      <c r="A92" s="8">
        <f t="shared" si="5"/>
        <v>91</v>
      </c>
      <c r="B92" s="44" t="s">
        <v>374</v>
      </c>
      <c r="C92" s="42">
        <v>25000.0</v>
      </c>
      <c r="D92" s="7">
        <f t="shared" si="2"/>
        <v>15000</v>
      </c>
      <c r="E92" s="7">
        <f t="shared" ref="E92:F92" si="94">if($D92&lt;15000,$D92*12/100,15000*12/100)</f>
        <v>1800</v>
      </c>
      <c r="F92" s="7">
        <f t="shared" si="94"/>
        <v>1800</v>
      </c>
      <c r="G92" s="7">
        <f t="shared" si="4"/>
        <v>3600</v>
      </c>
    </row>
    <row r="93">
      <c r="A93" s="8">
        <f t="shared" si="5"/>
        <v>92</v>
      </c>
      <c r="B93" s="44" t="s">
        <v>378</v>
      </c>
      <c r="C93" s="42">
        <v>9677.0</v>
      </c>
      <c r="D93" s="7">
        <f t="shared" si="2"/>
        <v>5806.2</v>
      </c>
      <c r="E93" s="7">
        <f t="shared" ref="E93:F93" si="95">if($D93&lt;15000,$D93*12/100,15000*12/100)</f>
        <v>696.744</v>
      </c>
      <c r="F93" s="7">
        <f t="shared" si="95"/>
        <v>696.744</v>
      </c>
      <c r="G93" s="7">
        <f t="shared" si="4"/>
        <v>1393.488</v>
      </c>
    </row>
    <row r="94">
      <c r="A94" s="9" t="s">
        <v>34</v>
      </c>
      <c r="B94" s="10"/>
      <c r="C94" s="11">
        <f t="shared" ref="C94:G94" si="96">sum(C2:C93)</f>
        <v>2129984</v>
      </c>
      <c r="D94" s="11">
        <f t="shared" si="96"/>
        <v>1277990.4</v>
      </c>
      <c r="E94" s="11">
        <f t="shared" si="96"/>
        <v>126818.712</v>
      </c>
      <c r="F94" s="11">
        <f t="shared" si="96"/>
        <v>126818.712</v>
      </c>
      <c r="G94" s="11">
        <f t="shared" si="96"/>
        <v>253637.424</v>
      </c>
    </row>
  </sheetData>
  <mergeCells count="1">
    <mergeCell ref="A94:B94"/>
  </mergeCells>
  <hyperlinks>
    <hyperlink r:id="rId1" ref="A1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286</v>
      </c>
      <c r="C2" s="41">
        <v>22857.0</v>
      </c>
      <c r="D2" s="7">
        <f t="shared" ref="D2:D90" si="2">C2*60/100</f>
        <v>13714.2</v>
      </c>
      <c r="E2" s="7">
        <f t="shared" ref="E2:F2" si="1">if($D2&lt;15000,$D2*12/100,15000*12/100)</f>
        <v>1645.704</v>
      </c>
      <c r="F2" s="7">
        <f t="shared" si="1"/>
        <v>1645.704</v>
      </c>
      <c r="G2" s="7">
        <f t="shared" ref="G2:G90" si="4">E2+F2</f>
        <v>3291.408</v>
      </c>
    </row>
    <row r="3">
      <c r="A3" s="8">
        <f t="shared" ref="A3:A90" si="5">A2+1</f>
        <v>2</v>
      </c>
      <c r="B3" s="46" t="s">
        <v>287</v>
      </c>
      <c r="C3" s="42">
        <v>18964.0</v>
      </c>
      <c r="D3" s="7">
        <f t="shared" si="2"/>
        <v>11378.4</v>
      </c>
      <c r="E3" s="7">
        <f t="shared" ref="E3:F3" si="3">if($D3&lt;15000,$D3*12/100,15000*12/100)</f>
        <v>1365.408</v>
      </c>
      <c r="F3" s="7">
        <f t="shared" si="3"/>
        <v>1365.408</v>
      </c>
      <c r="G3" s="7">
        <f t="shared" si="4"/>
        <v>2730.816</v>
      </c>
    </row>
    <row r="4">
      <c r="A4" s="8">
        <f t="shared" si="5"/>
        <v>3</v>
      </c>
      <c r="B4" s="46" t="s">
        <v>288</v>
      </c>
      <c r="C4" s="42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289</v>
      </c>
      <c r="C5" s="42">
        <v>39000.0</v>
      </c>
      <c r="D5" s="7">
        <f t="shared" si="2"/>
        <v>23400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46" t="s">
        <v>290</v>
      </c>
      <c r="C6" s="42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46" t="s">
        <v>291</v>
      </c>
      <c r="C7" s="42">
        <v>24000.0</v>
      </c>
      <c r="D7" s="7">
        <f t="shared" si="2"/>
        <v>14400</v>
      </c>
      <c r="E7" s="7">
        <f t="shared" ref="E7:F7" si="9">if($D7&lt;15000,$D7*12/100,15000*12/100)</f>
        <v>1728</v>
      </c>
      <c r="F7" s="7">
        <f t="shared" si="9"/>
        <v>1728</v>
      </c>
      <c r="G7" s="7">
        <f t="shared" si="4"/>
        <v>3456</v>
      </c>
    </row>
    <row r="8">
      <c r="A8" s="8">
        <f t="shared" si="5"/>
        <v>7</v>
      </c>
      <c r="B8" s="46" t="s">
        <v>292</v>
      </c>
      <c r="C8" s="42">
        <v>23143.0</v>
      </c>
      <c r="D8" s="7">
        <f t="shared" si="2"/>
        <v>13885.8</v>
      </c>
      <c r="E8" s="7">
        <f t="shared" ref="E8:F8" si="10">if($D8&lt;15000,$D8*12/100,15000*12/100)</f>
        <v>1666.296</v>
      </c>
      <c r="F8" s="7">
        <f t="shared" si="10"/>
        <v>1666.296</v>
      </c>
      <c r="G8" s="7">
        <f t="shared" si="4"/>
        <v>3332.592</v>
      </c>
    </row>
    <row r="9">
      <c r="A9" s="8">
        <f t="shared" si="5"/>
        <v>8</v>
      </c>
      <c r="B9" s="46" t="s">
        <v>293</v>
      </c>
      <c r="C9" s="42">
        <v>16964.0</v>
      </c>
      <c r="D9" s="7">
        <f t="shared" si="2"/>
        <v>10178.4</v>
      </c>
      <c r="E9" s="7">
        <f t="shared" ref="E9:F9" si="11">if($D9&lt;15000,$D9*12/100,15000*12/100)</f>
        <v>1221.408</v>
      </c>
      <c r="F9" s="7">
        <f t="shared" si="11"/>
        <v>1221.408</v>
      </c>
      <c r="G9" s="7">
        <f t="shared" si="4"/>
        <v>2442.816</v>
      </c>
    </row>
    <row r="10">
      <c r="A10" s="8">
        <f t="shared" si="5"/>
        <v>9</v>
      </c>
      <c r="B10" s="46" t="s">
        <v>294</v>
      </c>
      <c r="C10" s="42">
        <v>69643.0</v>
      </c>
      <c r="D10" s="7">
        <f t="shared" si="2"/>
        <v>41785.8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46" t="s">
        <v>295</v>
      </c>
      <c r="C11" s="42">
        <v>75000.0</v>
      </c>
      <c r="D11" s="7">
        <f t="shared" si="2"/>
        <v>45000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46" t="s">
        <v>296</v>
      </c>
      <c r="C12" s="42">
        <v>68750.0</v>
      </c>
      <c r="D12" s="7">
        <f t="shared" si="2"/>
        <v>41250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46" t="s">
        <v>297</v>
      </c>
      <c r="C13" s="42">
        <v>69429.0</v>
      </c>
      <c r="D13" s="7">
        <f t="shared" si="2"/>
        <v>41657.4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46" t="s">
        <v>298</v>
      </c>
      <c r="C14" s="42">
        <v>25071.0</v>
      </c>
      <c r="D14" s="7">
        <f t="shared" si="2"/>
        <v>15042.6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46" t="s">
        <v>299</v>
      </c>
      <c r="C15" s="42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46" t="s">
        <v>300</v>
      </c>
      <c r="C16" s="42">
        <v>31000.0</v>
      </c>
      <c r="D16" s="7">
        <f t="shared" si="2"/>
        <v>18600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46" t="s">
        <v>301</v>
      </c>
      <c r="C17" s="42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46" t="s">
        <v>302</v>
      </c>
      <c r="C18" s="42">
        <v>28000.0</v>
      </c>
      <c r="D18" s="7">
        <f t="shared" si="2"/>
        <v>16800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46" t="s">
        <v>303</v>
      </c>
      <c r="C19" s="42">
        <v>23143.0</v>
      </c>
      <c r="D19" s="7">
        <f t="shared" si="2"/>
        <v>13885.8</v>
      </c>
      <c r="E19" s="7">
        <f t="shared" ref="E19:F19" si="21">if($D19&lt;15000,$D19*12/100,15000*12/100)</f>
        <v>1666.296</v>
      </c>
      <c r="F19" s="7">
        <f t="shared" si="21"/>
        <v>1666.296</v>
      </c>
      <c r="G19" s="7">
        <f t="shared" si="4"/>
        <v>3332.592</v>
      </c>
    </row>
    <row r="20">
      <c r="A20" s="8">
        <f t="shared" si="5"/>
        <v>19</v>
      </c>
      <c r="B20" s="46" t="s">
        <v>304</v>
      </c>
      <c r="C20" s="42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46" t="s">
        <v>305</v>
      </c>
      <c r="C21" s="42">
        <v>34000.0</v>
      </c>
      <c r="D21" s="7">
        <f t="shared" si="2"/>
        <v>20400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46" t="s">
        <v>306</v>
      </c>
      <c r="C22" s="42">
        <v>26036.0</v>
      </c>
      <c r="D22" s="7">
        <f t="shared" si="2"/>
        <v>15621.6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46" t="s">
        <v>307</v>
      </c>
      <c r="C23" s="42">
        <v>35000.0</v>
      </c>
      <c r="D23" s="7">
        <f t="shared" si="2"/>
        <v>21000</v>
      </c>
      <c r="E23" s="7">
        <f t="shared" ref="E23:F23" si="25">if($D23&lt;15000,$D23*12/100,15000*12/100)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46" t="s">
        <v>308</v>
      </c>
      <c r="C24" s="42">
        <v>32000.0</v>
      </c>
      <c r="D24" s="7">
        <f t="shared" si="2"/>
        <v>19200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46" t="s">
        <v>309</v>
      </c>
      <c r="C25" s="42">
        <v>27000.0</v>
      </c>
      <c r="D25" s="7">
        <f t="shared" si="2"/>
        <v>16200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46" t="s">
        <v>310</v>
      </c>
      <c r="C26" s="42">
        <v>23000.0</v>
      </c>
      <c r="D26" s="7">
        <f t="shared" si="2"/>
        <v>13800</v>
      </c>
      <c r="E26" s="7">
        <f t="shared" ref="E26:F26" si="28">if($D26&lt;15000,$D26*12/100,15000*12/100)</f>
        <v>1656</v>
      </c>
      <c r="F26" s="7">
        <f t="shared" si="28"/>
        <v>1656</v>
      </c>
      <c r="G26" s="7">
        <f t="shared" si="4"/>
        <v>3312</v>
      </c>
    </row>
    <row r="27">
      <c r="A27" s="8">
        <f t="shared" si="5"/>
        <v>26</v>
      </c>
      <c r="B27" s="46" t="s">
        <v>311</v>
      </c>
      <c r="C27" s="42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46" t="s">
        <v>312</v>
      </c>
      <c r="C28" s="42">
        <v>23000.0</v>
      </c>
      <c r="D28" s="7">
        <f t="shared" si="2"/>
        <v>13800</v>
      </c>
      <c r="E28" s="7">
        <f t="shared" ref="E28:F28" si="30">if($D28&lt;15000,$D28*12/100,15000*12/100)</f>
        <v>1656</v>
      </c>
      <c r="F28" s="7">
        <f t="shared" si="30"/>
        <v>1656</v>
      </c>
      <c r="G28" s="7">
        <f t="shared" si="4"/>
        <v>3312</v>
      </c>
    </row>
    <row r="29">
      <c r="A29" s="8">
        <f t="shared" si="5"/>
        <v>28</v>
      </c>
      <c r="B29" s="46" t="s">
        <v>313</v>
      </c>
      <c r="C29" s="42">
        <v>17625.0</v>
      </c>
      <c r="D29" s="7">
        <f t="shared" si="2"/>
        <v>10575</v>
      </c>
      <c r="E29" s="7">
        <f t="shared" ref="E29:F29" si="31">if($D29&lt;15000,$D29*12/100,15000*12/100)</f>
        <v>1269</v>
      </c>
      <c r="F29" s="7">
        <f t="shared" si="31"/>
        <v>1269</v>
      </c>
      <c r="G29" s="7">
        <f t="shared" si="4"/>
        <v>2538</v>
      </c>
    </row>
    <row r="30">
      <c r="A30" s="8">
        <f t="shared" si="5"/>
        <v>29</v>
      </c>
      <c r="B30" s="46" t="s">
        <v>314</v>
      </c>
      <c r="C30" s="42">
        <v>25000.0</v>
      </c>
      <c r="D30" s="7">
        <f t="shared" si="2"/>
        <v>15000</v>
      </c>
      <c r="E30" s="7">
        <f t="shared" ref="E30:F30" si="32">if($D30&lt;15000,$D30*12/100,15000*12/100)</f>
        <v>1800</v>
      </c>
      <c r="F30" s="7">
        <f t="shared" si="32"/>
        <v>1800</v>
      </c>
      <c r="G30" s="7">
        <f t="shared" si="4"/>
        <v>3600</v>
      </c>
    </row>
    <row r="31">
      <c r="A31" s="8">
        <f t="shared" si="5"/>
        <v>30</v>
      </c>
      <c r="B31" s="46" t="s">
        <v>315</v>
      </c>
      <c r="C31" s="42">
        <v>17643.0</v>
      </c>
      <c r="D31" s="7">
        <f t="shared" si="2"/>
        <v>10585.8</v>
      </c>
      <c r="E31" s="7">
        <f t="shared" ref="E31:F31" si="33">if($D31&lt;15000,$D31*12/100,15000*12/100)</f>
        <v>1270.296</v>
      </c>
      <c r="F31" s="7">
        <f t="shared" si="33"/>
        <v>1270.296</v>
      </c>
      <c r="G31" s="7">
        <f t="shared" si="4"/>
        <v>2540.592</v>
      </c>
    </row>
    <row r="32">
      <c r="A32" s="8">
        <f t="shared" si="5"/>
        <v>31</v>
      </c>
      <c r="B32" s="46" t="s">
        <v>316</v>
      </c>
      <c r="C32" s="42">
        <v>15429.0</v>
      </c>
      <c r="D32" s="7">
        <f t="shared" si="2"/>
        <v>9257.4</v>
      </c>
      <c r="E32" s="7">
        <f t="shared" ref="E32:F32" si="34">if($D32&lt;15000,$D32*12/100,15000*12/100)</f>
        <v>1110.888</v>
      </c>
      <c r="F32" s="7">
        <f t="shared" si="34"/>
        <v>1110.888</v>
      </c>
      <c r="G32" s="7">
        <f t="shared" si="4"/>
        <v>2221.776</v>
      </c>
    </row>
    <row r="33">
      <c r="A33" s="8">
        <f t="shared" si="5"/>
        <v>32</v>
      </c>
      <c r="B33" s="46" t="s">
        <v>317</v>
      </c>
      <c r="C33" s="42">
        <v>22179.0</v>
      </c>
      <c r="D33" s="7">
        <f t="shared" si="2"/>
        <v>13307.4</v>
      </c>
      <c r="E33" s="7">
        <f t="shared" ref="E33:F33" si="35">if($D33&lt;15000,$D33*12/100,15000*12/100)</f>
        <v>1596.888</v>
      </c>
      <c r="F33" s="7">
        <f t="shared" si="35"/>
        <v>1596.888</v>
      </c>
      <c r="G33" s="7">
        <f t="shared" si="4"/>
        <v>3193.776</v>
      </c>
    </row>
    <row r="34">
      <c r="A34" s="8">
        <f t="shared" si="5"/>
        <v>33</v>
      </c>
      <c r="B34" s="46" t="s">
        <v>318</v>
      </c>
      <c r="C34" s="42">
        <v>24000.0</v>
      </c>
      <c r="D34" s="7">
        <f t="shared" si="2"/>
        <v>14400</v>
      </c>
      <c r="E34" s="7">
        <f t="shared" ref="E34:F34" si="36">if($D34&lt;15000,$D34*12/100,15000*12/100)</f>
        <v>1728</v>
      </c>
      <c r="F34" s="7">
        <f t="shared" si="36"/>
        <v>1728</v>
      </c>
      <c r="G34" s="7">
        <f t="shared" si="4"/>
        <v>3456</v>
      </c>
    </row>
    <row r="35">
      <c r="A35" s="8">
        <f t="shared" si="5"/>
        <v>34</v>
      </c>
      <c r="B35" s="46" t="s">
        <v>319</v>
      </c>
      <c r="C35" s="42">
        <v>22286.0</v>
      </c>
      <c r="D35" s="7">
        <f t="shared" si="2"/>
        <v>13371.6</v>
      </c>
      <c r="E35" s="7">
        <f t="shared" ref="E35:F35" si="37">if($D35&lt;15000,$D35*12/100,15000*12/100)</f>
        <v>1604.592</v>
      </c>
      <c r="F35" s="7">
        <f t="shared" si="37"/>
        <v>1604.592</v>
      </c>
      <c r="G35" s="7">
        <f t="shared" si="4"/>
        <v>3209.184</v>
      </c>
    </row>
    <row r="36">
      <c r="A36" s="8">
        <f t="shared" si="5"/>
        <v>35</v>
      </c>
      <c r="B36" s="46" t="s">
        <v>320</v>
      </c>
      <c r="C36" s="42">
        <v>21214.0</v>
      </c>
      <c r="D36" s="7">
        <f t="shared" si="2"/>
        <v>12728.4</v>
      </c>
      <c r="E36" s="7">
        <f t="shared" ref="E36:F36" si="38">if($D36&lt;15000,$D36*12/100,15000*12/100)</f>
        <v>1527.408</v>
      </c>
      <c r="F36" s="7">
        <f t="shared" si="38"/>
        <v>1527.408</v>
      </c>
      <c r="G36" s="7">
        <f t="shared" si="4"/>
        <v>3054.816</v>
      </c>
    </row>
    <row r="37">
      <c r="A37" s="8">
        <f t="shared" si="5"/>
        <v>36</v>
      </c>
      <c r="B37" s="46" t="s">
        <v>321</v>
      </c>
      <c r="C37" s="42">
        <v>13357.0</v>
      </c>
      <c r="D37" s="7">
        <f t="shared" si="2"/>
        <v>8014.2</v>
      </c>
      <c r="E37" s="7">
        <f t="shared" ref="E37:F37" si="39">if($D37&lt;15000,$D37*12/100,15000*12/100)</f>
        <v>961.704</v>
      </c>
      <c r="F37" s="7">
        <f t="shared" si="39"/>
        <v>961.704</v>
      </c>
      <c r="G37" s="7">
        <f t="shared" si="4"/>
        <v>1923.408</v>
      </c>
    </row>
    <row r="38">
      <c r="A38" s="8">
        <f t="shared" si="5"/>
        <v>37</v>
      </c>
      <c r="B38" s="40" t="s">
        <v>322</v>
      </c>
      <c r="C38" s="42">
        <v>11607.0</v>
      </c>
      <c r="D38" s="7">
        <f t="shared" si="2"/>
        <v>6964.2</v>
      </c>
      <c r="E38" s="7">
        <f t="shared" ref="E38:F38" si="40">if($D38&lt;15000,$D38*12/100,15000*12/100)</f>
        <v>835.704</v>
      </c>
      <c r="F38" s="7">
        <f t="shared" si="40"/>
        <v>835.704</v>
      </c>
      <c r="G38" s="7">
        <f t="shared" si="4"/>
        <v>1671.408</v>
      </c>
    </row>
    <row r="39">
      <c r="A39" s="8">
        <f t="shared" si="5"/>
        <v>38</v>
      </c>
      <c r="B39" s="40" t="s">
        <v>323</v>
      </c>
      <c r="C39" s="42">
        <v>15000.0</v>
      </c>
      <c r="D39" s="7">
        <f t="shared" si="2"/>
        <v>9000</v>
      </c>
      <c r="E39" s="7">
        <f t="shared" ref="E39:F39" si="41">if($D39&lt;15000,$D39*12/100,15000*12/100)</f>
        <v>1080</v>
      </c>
      <c r="F39" s="7">
        <f t="shared" si="41"/>
        <v>1080</v>
      </c>
      <c r="G39" s="7">
        <f t="shared" si="4"/>
        <v>2160</v>
      </c>
    </row>
    <row r="40">
      <c r="A40" s="8">
        <f t="shared" si="5"/>
        <v>39</v>
      </c>
      <c r="B40" s="40" t="s">
        <v>324</v>
      </c>
      <c r="C40" s="42">
        <v>13393.0</v>
      </c>
      <c r="D40" s="7">
        <f t="shared" si="2"/>
        <v>8035.8</v>
      </c>
      <c r="E40" s="7">
        <f t="shared" ref="E40:F40" si="42">if($D40&lt;15000,$D40*12/100,15000*12/100)</f>
        <v>964.296</v>
      </c>
      <c r="F40" s="7">
        <f t="shared" si="42"/>
        <v>964.296</v>
      </c>
      <c r="G40" s="7">
        <f t="shared" si="4"/>
        <v>1928.592</v>
      </c>
    </row>
    <row r="41">
      <c r="A41" s="8">
        <f t="shared" si="5"/>
        <v>40</v>
      </c>
      <c r="B41" s="40" t="s">
        <v>325</v>
      </c>
      <c r="C41" s="42">
        <v>20250.0</v>
      </c>
      <c r="D41" s="7">
        <f t="shared" si="2"/>
        <v>12150</v>
      </c>
      <c r="E41" s="7">
        <f t="shared" ref="E41:F41" si="43">if($D41&lt;15000,$D41*12/100,15000*12/100)</f>
        <v>1458</v>
      </c>
      <c r="F41" s="7">
        <f t="shared" si="43"/>
        <v>1458</v>
      </c>
      <c r="G41" s="7">
        <f t="shared" si="4"/>
        <v>2916</v>
      </c>
    </row>
    <row r="42">
      <c r="A42" s="8">
        <f t="shared" si="5"/>
        <v>41</v>
      </c>
      <c r="B42" s="40" t="s">
        <v>326</v>
      </c>
      <c r="C42" s="42">
        <v>15000.0</v>
      </c>
      <c r="D42" s="7">
        <f t="shared" si="2"/>
        <v>9000</v>
      </c>
      <c r="E42" s="7">
        <f t="shared" ref="E42:F42" si="44">if($D42&lt;15000,$D42*12/100,15000*12/100)</f>
        <v>1080</v>
      </c>
      <c r="F42" s="7">
        <f t="shared" si="44"/>
        <v>1080</v>
      </c>
      <c r="G42" s="7">
        <f t="shared" si="4"/>
        <v>2160</v>
      </c>
    </row>
    <row r="43">
      <c r="A43" s="8">
        <f t="shared" si="5"/>
        <v>42</v>
      </c>
      <c r="B43" s="40" t="s">
        <v>327</v>
      </c>
      <c r="C43" s="42">
        <v>20250.0</v>
      </c>
      <c r="D43" s="7">
        <f t="shared" si="2"/>
        <v>12150</v>
      </c>
      <c r="E43" s="7">
        <f t="shared" ref="E43:F43" si="45">if($D43&lt;15000,$D43*12/100,15000*12/100)</f>
        <v>1458</v>
      </c>
      <c r="F43" s="7">
        <f t="shared" si="45"/>
        <v>1458</v>
      </c>
      <c r="G43" s="7">
        <f t="shared" si="4"/>
        <v>2916</v>
      </c>
    </row>
    <row r="44">
      <c r="A44" s="8">
        <f t="shared" si="5"/>
        <v>43</v>
      </c>
      <c r="B44" s="40" t="s">
        <v>328</v>
      </c>
      <c r="C44" s="42">
        <v>25000.0</v>
      </c>
      <c r="D44" s="7">
        <f t="shared" si="2"/>
        <v>15000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40" t="s">
        <v>331</v>
      </c>
      <c r="C45" s="42">
        <v>16000.0</v>
      </c>
      <c r="D45" s="7">
        <f t="shared" si="2"/>
        <v>9600</v>
      </c>
      <c r="E45" s="7">
        <f t="shared" ref="E45:F45" si="47">if($D45&lt;15000,$D45*12/100,15000*12/100)</f>
        <v>1152</v>
      </c>
      <c r="F45" s="7">
        <f t="shared" si="47"/>
        <v>1152</v>
      </c>
      <c r="G45" s="7">
        <f t="shared" si="4"/>
        <v>2304</v>
      </c>
    </row>
    <row r="46">
      <c r="A46" s="8">
        <f t="shared" si="5"/>
        <v>45</v>
      </c>
      <c r="B46" s="40" t="s">
        <v>332</v>
      </c>
      <c r="C46" s="42">
        <v>19000.0</v>
      </c>
      <c r="D46" s="7">
        <f t="shared" si="2"/>
        <v>11400</v>
      </c>
      <c r="E46" s="7">
        <f t="shared" ref="E46:F46" si="48">if($D46&lt;15000,$D46*12/100,15000*12/100)</f>
        <v>1368</v>
      </c>
      <c r="F46" s="7">
        <f t="shared" si="48"/>
        <v>1368</v>
      </c>
      <c r="G46" s="7">
        <f t="shared" si="4"/>
        <v>2736</v>
      </c>
    </row>
    <row r="47">
      <c r="A47" s="8">
        <f t="shared" si="5"/>
        <v>46</v>
      </c>
      <c r="B47" s="40" t="s">
        <v>333</v>
      </c>
      <c r="C47" s="42">
        <v>17000.0</v>
      </c>
      <c r="D47" s="7">
        <f t="shared" si="2"/>
        <v>10200</v>
      </c>
      <c r="E47" s="7">
        <f t="shared" ref="E47:F47" si="49">if($D47&lt;15000,$D47*12/100,15000*12/100)</f>
        <v>1224</v>
      </c>
      <c r="F47" s="7">
        <f t="shared" si="49"/>
        <v>1224</v>
      </c>
      <c r="G47" s="7">
        <f t="shared" si="4"/>
        <v>2448</v>
      </c>
    </row>
    <row r="48">
      <c r="A48" s="8">
        <f t="shared" si="5"/>
        <v>47</v>
      </c>
      <c r="B48" s="40" t="s">
        <v>334</v>
      </c>
      <c r="C48" s="42">
        <v>20000.0</v>
      </c>
      <c r="D48" s="7">
        <f t="shared" si="2"/>
        <v>12000</v>
      </c>
      <c r="E48" s="7">
        <f t="shared" ref="E48:F48" si="50">if($D48&lt;15000,$D48*12/100,15000*12/100)</f>
        <v>1440</v>
      </c>
      <c r="F48" s="7">
        <f t="shared" si="50"/>
        <v>1440</v>
      </c>
      <c r="G48" s="7">
        <f t="shared" si="4"/>
        <v>2880</v>
      </c>
    </row>
    <row r="49">
      <c r="A49" s="8">
        <f t="shared" si="5"/>
        <v>48</v>
      </c>
      <c r="B49" s="40" t="s">
        <v>335</v>
      </c>
      <c r="C49" s="42">
        <v>16000.0</v>
      </c>
      <c r="D49" s="7">
        <f t="shared" si="2"/>
        <v>9600</v>
      </c>
      <c r="E49" s="7">
        <f t="shared" ref="E49:F49" si="51">if($D49&lt;15000,$D49*12/100,15000*12/100)</f>
        <v>1152</v>
      </c>
      <c r="F49" s="7">
        <f t="shared" si="51"/>
        <v>1152</v>
      </c>
      <c r="G49" s="7">
        <f t="shared" si="4"/>
        <v>2304</v>
      </c>
    </row>
    <row r="50">
      <c r="A50" s="8">
        <f t="shared" si="5"/>
        <v>49</v>
      </c>
      <c r="B50" s="40" t="s">
        <v>336</v>
      </c>
      <c r="C50" s="42">
        <v>15786.0</v>
      </c>
      <c r="D50" s="7">
        <f t="shared" si="2"/>
        <v>9471.6</v>
      </c>
      <c r="E50" s="7">
        <f t="shared" ref="E50:F50" si="52">if($D50&lt;15000,$D50*12/100,15000*12/100)</f>
        <v>1136.592</v>
      </c>
      <c r="F50" s="7">
        <f t="shared" si="52"/>
        <v>1136.592</v>
      </c>
      <c r="G50" s="7">
        <f t="shared" si="4"/>
        <v>2273.184</v>
      </c>
    </row>
    <row r="51">
      <c r="A51" s="8">
        <f t="shared" si="5"/>
        <v>50</v>
      </c>
      <c r="B51" s="40" t="s">
        <v>337</v>
      </c>
      <c r="C51" s="42">
        <v>14464.0</v>
      </c>
      <c r="D51" s="7">
        <f t="shared" si="2"/>
        <v>8678.4</v>
      </c>
      <c r="E51" s="7">
        <f t="shared" ref="E51:F51" si="53">if($D51&lt;15000,$D51*12/100,15000*12/100)</f>
        <v>1041.408</v>
      </c>
      <c r="F51" s="7">
        <f t="shared" si="53"/>
        <v>1041.408</v>
      </c>
      <c r="G51" s="7">
        <f t="shared" si="4"/>
        <v>2082.816</v>
      </c>
    </row>
    <row r="52">
      <c r="A52" s="8">
        <f t="shared" si="5"/>
        <v>51</v>
      </c>
      <c r="B52" s="49" t="s">
        <v>338</v>
      </c>
      <c r="C52" s="42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40" t="s">
        <v>339</v>
      </c>
      <c r="C53" s="42">
        <v>13929.0</v>
      </c>
      <c r="D53" s="7">
        <f t="shared" si="2"/>
        <v>8357.4</v>
      </c>
      <c r="E53" s="7">
        <f t="shared" ref="E53:F53" si="55">if($D53&lt;15000,$D53*12/100,15000*12/100)</f>
        <v>1002.888</v>
      </c>
      <c r="F53" s="7">
        <f t="shared" si="55"/>
        <v>1002.888</v>
      </c>
      <c r="G53" s="7">
        <f t="shared" si="4"/>
        <v>2005.776</v>
      </c>
    </row>
    <row r="54">
      <c r="A54" s="8">
        <f t="shared" si="5"/>
        <v>53</v>
      </c>
      <c r="B54" s="40" t="s">
        <v>340</v>
      </c>
      <c r="C54" s="42">
        <v>19000.0</v>
      </c>
      <c r="D54" s="7">
        <f t="shared" si="2"/>
        <v>11400</v>
      </c>
      <c r="E54" s="7">
        <f t="shared" ref="E54:F54" si="56">if($D54&lt;15000,$D54*12/100,15000*12/100)</f>
        <v>1368</v>
      </c>
      <c r="F54" s="7">
        <f t="shared" si="56"/>
        <v>1368</v>
      </c>
      <c r="G54" s="7">
        <f t="shared" si="4"/>
        <v>2736</v>
      </c>
    </row>
    <row r="55">
      <c r="A55" s="8">
        <f t="shared" si="5"/>
        <v>54</v>
      </c>
      <c r="B55" s="40" t="s">
        <v>341</v>
      </c>
      <c r="C55" s="42">
        <v>22000.0</v>
      </c>
      <c r="D55" s="7">
        <f t="shared" si="2"/>
        <v>13200</v>
      </c>
      <c r="E55" s="7">
        <f t="shared" ref="E55:F55" si="57">if($D55&lt;15000,$D55*12/100,15000*12/100)</f>
        <v>1584</v>
      </c>
      <c r="F55" s="7">
        <f t="shared" si="57"/>
        <v>1584</v>
      </c>
      <c r="G55" s="7">
        <f t="shared" si="4"/>
        <v>3168</v>
      </c>
    </row>
    <row r="56">
      <c r="A56" s="8">
        <f t="shared" si="5"/>
        <v>55</v>
      </c>
      <c r="B56" s="40" t="s">
        <v>342</v>
      </c>
      <c r="C56" s="42">
        <v>19286.0</v>
      </c>
      <c r="D56" s="7">
        <f t="shared" si="2"/>
        <v>11571.6</v>
      </c>
      <c r="E56" s="7">
        <f t="shared" ref="E56:F56" si="58">if($D56&lt;15000,$D56*12/100,15000*12/100)</f>
        <v>1388.592</v>
      </c>
      <c r="F56" s="7">
        <f t="shared" si="58"/>
        <v>1388.592</v>
      </c>
      <c r="G56" s="7">
        <f t="shared" si="4"/>
        <v>2777.184</v>
      </c>
    </row>
    <row r="57">
      <c r="A57" s="8">
        <f t="shared" si="5"/>
        <v>56</v>
      </c>
      <c r="B57" s="40" t="s">
        <v>344</v>
      </c>
      <c r="C57" s="42">
        <v>13929.0</v>
      </c>
      <c r="D57" s="7">
        <f t="shared" si="2"/>
        <v>8357.4</v>
      </c>
      <c r="E57" s="7">
        <f t="shared" ref="E57:F57" si="59">if($D57&lt;15000,$D57*12/100,15000*12/100)</f>
        <v>1002.888</v>
      </c>
      <c r="F57" s="7">
        <f t="shared" si="59"/>
        <v>1002.888</v>
      </c>
      <c r="G57" s="7">
        <f t="shared" si="4"/>
        <v>2005.776</v>
      </c>
    </row>
    <row r="58">
      <c r="A58" s="8">
        <f t="shared" si="5"/>
        <v>57</v>
      </c>
      <c r="B58" s="40" t="s">
        <v>345</v>
      </c>
      <c r="C58" s="42">
        <v>16000.0</v>
      </c>
      <c r="D58" s="7">
        <f t="shared" si="2"/>
        <v>9600</v>
      </c>
      <c r="E58" s="7">
        <f t="shared" ref="E58:F58" si="60">if($D58&lt;15000,$D58*12/100,15000*12/100)</f>
        <v>1152</v>
      </c>
      <c r="F58" s="7">
        <f t="shared" si="60"/>
        <v>1152</v>
      </c>
      <c r="G58" s="7">
        <f t="shared" si="4"/>
        <v>2304</v>
      </c>
    </row>
    <row r="59">
      <c r="A59" s="8">
        <f t="shared" si="5"/>
        <v>58</v>
      </c>
      <c r="B59" s="23" t="s">
        <v>346</v>
      </c>
      <c r="C59" s="42">
        <v>19286.0</v>
      </c>
      <c r="D59" s="7">
        <f t="shared" si="2"/>
        <v>11571.6</v>
      </c>
      <c r="E59" s="7">
        <f t="shared" ref="E59:F59" si="61">if($D59&lt;15000,$D59*12/100,15000*12/100)</f>
        <v>1388.592</v>
      </c>
      <c r="F59" s="7">
        <f t="shared" si="61"/>
        <v>1388.592</v>
      </c>
      <c r="G59" s="7">
        <f t="shared" si="4"/>
        <v>2777.184</v>
      </c>
    </row>
    <row r="60">
      <c r="A60" s="8">
        <f t="shared" si="5"/>
        <v>59</v>
      </c>
      <c r="B60" s="23" t="s">
        <v>347</v>
      </c>
      <c r="C60" s="42">
        <v>12000.0</v>
      </c>
      <c r="D60" s="7">
        <f t="shared" si="2"/>
        <v>7200</v>
      </c>
      <c r="E60" s="7">
        <f t="shared" ref="E60:F60" si="62">if($D60&lt;15000,$D60*12/100,15000*12/100)</f>
        <v>864</v>
      </c>
      <c r="F60" s="7">
        <f t="shared" si="62"/>
        <v>864</v>
      </c>
      <c r="G60" s="7">
        <f t="shared" si="4"/>
        <v>1728</v>
      </c>
    </row>
    <row r="61">
      <c r="A61" s="8">
        <f t="shared" si="5"/>
        <v>60</v>
      </c>
      <c r="B61" s="23" t="s">
        <v>348</v>
      </c>
      <c r="C61" s="42">
        <v>15429.0</v>
      </c>
      <c r="D61" s="7">
        <f t="shared" si="2"/>
        <v>9257.4</v>
      </c>
      <c r="E61" s="7">
        <f t="shared" ref="E61:F61" si="63">if($D61&lt;15000,$D61*12/100,15000*12/100)</f>
        <v>1110.888</v>
      </c>
      <c r="F61" s="7">
        <f t="shared" si="63"/>
        <v>1110.888</v>
      </c>
      <c r="G61" s="7">
        <f t="shared" si="4"/>
        <v>2221.776</v>
      </c>
    </row>
    <row r="62">
      <c r="A62" s="8">
        <f t="shared" si="5"/>
        <v>61</v>
      </c>
      <c r="B62" s="23" t="s">
        <v>349</v>
      </c>
      <c r="C62" s="42">
        <v>15000.0</v>
      </c>
      <c r="D62" s="7">
        <f t="shared" si="2"/>
        <v>9000</v>
      </c>
      <c r="E62" s="7">
        <f t="shared" ref="E62:F62" si="64">if($D62&lt;15000,$D62*12/100,15000*12/100)</f>
        <v>1080</v>
      </c>
      <c r="F62" s="7">
        <f t="shared" si="64"/>
        <v>1080</v>
      </c>
      <c r="G62" s="7">
        <f t="shared" si="4"/>
        <v>2160</v>
      </c>
    </row>
    <row r="63">
      <c r="A63" s="8">
        <f t="shared" si="5"/>
        <v>62</v>
      </c>
      <c r="B63" s="44" t="s">
        <v>350</v>
      </c>
      <c r="C63" s="42">
        <v>28929.0</v>
      </c>
      <c r="D63" s="7">
        <f t="shared" si="2"/>
        <v>17357.4</v>
      </c>
      <c r="E63" s="7">
        <f t="shared" ref="E63:F63" si="65">if($D63&lt;15000,$D63*12/100,15000*12/100)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40" t="s">
        <v>351</v>
      </c>
      <c r="C64" s="42">
        <v>25000.0</v>
      </c>
      <c r="D64" s="7">
        <f t="shared" si="2"/>
        <v>15000</v>
      </c>
      <c r="E64" s="7">
        <f t="shared" ref="E64:F64" si="66">if($D64&lt;15000,$D64*12/100,15000*12/100)</f>
        <v>1800</v>
      </c>
      <c r="F64" s="7">
        <f t="shared" si="66"/>
        <v>1800</v>
      </c>
      <c r="G64" s="7">
        <f t="shared" si="4"/>
        <v>3600</v>
      </c>
    </row>
    <row r="65">
      <c r="A65" s="8">
        <f t="shared" si="5"/>
        <v>64</v>
      </c>
      <c r="B65" s="40" t="s">
        <v>352</v>
      </c>
      <c r="C65" s="42">
        <v>17000.0</v>
      </c>
      <c r="D65" s="7">
        <f t="shared" si="2"/>
        <v>10200</v>
      </c>
      <c r="E65" s="7">
        <f t="shared" ref="E65:F65" si="67">if($D65&lt;15000,$D65*12/100,15000*12/100)</f>
        <v>1224</v>
      </c>
      <c r="F65" s="7">
        <f t="shared" si="67"/>
        <v>1224</v>
      </c>
      <c r="G65" s="7">
        <f t="shared" si="4"/>
        <v>2448</v>
      </c>
    </row>
    <row r="66">
      <c r="A66" s="8">
        <f t="shared" si="5"/>
        <v>65</v>
      </c>
      <c r="B66" s="40" t="s">
        <v>353</v>
      </c>
      <c r="C66" s="42">
        <v>22000.0</v>
      </c>
      <c r="D66" s="7">
        <f t="shared" si="2"/>
        <v>13200</v>
      </c>
      <c r="E66" s="7">
        <f t="shared" ref="E66:F66" si="68">if($D66&lt;15000,$D66*12/100,15000*12/100)</f>
        <v>1584</v>
      </c>
      <c r="F66" s="7">
        <f t="shared" si="68"/>
        <v>1584</v>
      </c>
      <c r="G66" s="7">
        <f t="shared" si="4"/>
        <v>3168</v>
      </c>
    </row>
    <row r="67">
      <c r="A67" s="8">
        <f t="shared" si="5"/>
        <v>66</v>
      </c>
      <c r="B67" s="50" t="s">
        <v>354</v>
      </c>
      <c r="C67" s="42">
        <v>22000.0</v>
      </c>
      <c r="D67" s="7">
        <f t="shared" si="2"/>
        <v>13200</v>
      </c>
      <c r="E67" s="7">
        <f t="shared" ref="E67:F67" si="69">if($D67&lt;15000,$D67*12/100,15000*12/100)</f>
        <v>1584</v>
      </c>
      <c r="F67" s="7">
        <f t="shared" si="69"/>
        <v>1584</v>
      </c>
      <c r="G67" s="7">
        <f t="shared" si="4"/>
        <v>3168</v>
      </c>
    </row>
    <row r="68">
      <c r="A68" s="8">
        <f t="shared" si="5"/>
        <v>67</v>
      </c>
      <c r="B68" s="40" t="s">
        <v>355</v>
      </c>
      <c r="C68" s="42">
        <v>22179.0</v>
      </c>
      <c r="D68" s="7">
        <f t="shared" si="2"/>
        <v>13307.4</v>
      </c>
      <c r="E68" s="7">
        <f t="shared" ref="E68:F68" si="70">if($D68&lt;15000,$D68*12/100,15000*12/100)</f>
        <v>1596.888</v>
      </c>
      <c r="F68" s="7">
        <f t="shared" si="70"/>
        <v>1596.888</v>
      </c>
      <c r="G68" s="7">
        <f t="shared" si="4"/>
        <v>3193.776</v>
      </c>
    </row>
    <row r="69">
      <c r="A69" s="8">
        <f t="shared" si="5"/>
        <v>68</v>
      </c>
      <c r="B69" s="44" t="s">
        <v>356</v>
      </c>
      <c r="C69" s="42">
        <v>9000.0</v>
      </c>
      <c r="D69" s="7">
        <f t="shared" si="2"/>
        <v>5400</v>
      </c>
      <c r="E69" s="7">
        <f t="shared" ref="E69:F69" si="71">if($D69&lt;15000,$D69*12/100,15000*12/100)</f>
        <v>648</v>
      </c>
      <c r="F69" s="7">
        <f t="shared" si="71"/>
        <v>648</v>
      </c>
      <c r="G69" s="7">
        <f t="shared" si="4"/>
        <v>1296</v>
      </c>
    </row>
    <row r="70">
      <c r="A70" s="8">
        <f t="shared" si="5"/>
        <v>69</v>
      </c>
      <c r="B70" s="44" t="s">
        <v>357</v>
      </c>
      <c r="C70" s="42">
        <v>10000.0</v>
      </c>
      <c r="D70" s="7">
        <f t="shared" si="2"/>
        <v>6000</v>
      </c>
      <c r="E70" s="7">
        <f t="shared" ref="E70:F70" si="72">if($D70&lt;15000,$D70*12/100,15000*12/100)</f>
        <v>720</v>
      </c>
      <c r="F70" s="7">
        <f t="shared" si="72"/>
        <v>720</v>
      </c>
      <c r="G70" s="7">
        <f t="shared" si="4"/>
        <v>1440</v>
      </c>
    </row>
    <row r="71">
      <c r="A71" s="8">
        <f t="shared" si="5"/>
        <v>70</v>
      </c>
      <c r="B71" s="44" t="s">
        <v>358</v>
      </c>
      <c r="C71" s="42">
        <v>7000.0</v>
      </c>
      <c r="D71" s="7">
        <f t="shared" si="2"/>
        <v>4200</v>
      </c>
      <c r="E71" s="7">
        <f t="shared" ref="E71:F71" si="73">if($D71&lt;15000,$D71*12/100,15000*12/100)</f>
        <v>504</v>
      </c>
      <c r="F71" s="7">
        <f t="shared" si="73"/>
        <v>504</v>
      </c>
      <c r="G71" s="7">
        <f t="shared" si="4"/>
        <v>1008</v>
      </c>
    </row>
    <row r="72">
      <c r="A72" s="8">
        <f t="shared" si="5"/>
        <v>71</v>
      </c>
      <c r="B72" s="44" t="s">
        <v>359</v>
      </c>
      <c r="C72" s="42">
        <v>8000.0</v>
      </c>
      <c r="D72" s="7">
        <f t="shared" si="2"/>
        <v>4800</v>
      </c>
      <c r="E72" s="7">
        <f t="shared" ref="E72:F72" si="74">if($D72&lt;15000,$D72*12/100,15000*12/100)</f>
        <v>576</v>
      </c>
      <c r="F72" s="7">
        <f t="shared" si="74"/>
        <v>576</v>
      </c>
      <c r="G72" s="7">
        <f t="shared" si="4"/>
        <v>1152</v>
      </c>
    </row>
    <row r="73">
      <c r="A73" s="8">
        <f t="shared" si="5"/>
        <v>72</v>
      </c>
      <c r="B73" s="44" t="s">
        <v>360</v>
      </c>
      <c r="C73" s="42">
        <v>9000.0</v>
      </c>
      <c r="D73" s="7">
        <f t="shared" si="2"/>
        <v>5400</v>
      </c>
      <c r="E73" s="7">
        <f t="shared" ref="E73:F73" si="75">if($D73&lt;15000,$D73*12/100,15000*12/100)</f>
        <v>648</v>
      </c>
      <c r="F73" s="7">
        <f t="shared" si="75"/>
        <v>648</v>
      </c>
      <c r="G73" s="7">
        <f t="shared" si="4"/>
        <v>1296</v>
      </c>
    </row>
    <row r="74">
      <c r="A74" s="8">
        <f t="shared" si="5"/>
        <v>73</v>
      </c>
      <c r="B74" s="40" t="s">
        <v>361</v>
      </c>
      <c r="C74" s="42">
        <v>20000.0</v>
      </c>
      <c r="D74" s="7">
        <f t="shared" si="2"/>
        <v>12000</v>
      </c>
      <c r="E74" s="7">
        <f t="shared" ref="E74:F74" si="76">if($D74&lt;15000,$D74*12/100,15000*12/100)</f>
        <v>1440</v>
      </c>
      <c r="F74" s="7">
        <f t="shared" si="76"/>
        <v>1440</v>
      </c>
      <c r="G74" s="7">
        <f t="shared" si="4"/>
        <v>2880</v>
      </c>
    </row>
    <row r="75">
      <c r="A75" s="8">
        <f t="shared" si="5"/>
        <v>74</v>
      </c>
      <c r="B75" s="44" t="s">
        <v>375</v>
      </c>
      <c r="C75" s="42">
        <v>30000.0</v>
      </c>
      <c r="D75" s="7">
        <f t="shared" si="2"/>
        <v>18000</v>
      </c>
      <c r="E75" s="7">
        <f t="shared" ref="E75:F75" si="77">if($D75&lt;15000,$D75*12/100,15000*12/100)</f>
        <v>1800</v>
      </c>
      <c r="F75" s="7">
        <f t="shared" si="77"/>
        <v>1800</v>
      </c>
      <c r="G75" s="7">
        <f t="shared" si="4"/>
        <v>3600</v>
      </c>
    </row>
    <row r="76">
      <c r="A76" s="8">
        <f t="shared" si="5"/>
        <v>75</v>
      </c>
      <c r="B76" s="44" t="s">
        <v>377</v>
      </c>
      <c r="C76" s="42">
        <v>17643.0</v>
      </c>
      <c r="D76" s="7">
        <f t="shared" si="2"/>
        <v>10585.8</v>
      </c>
      <c r="E76" s="7">
        <f t="shared" ref="E76:F76" si="78">if($D76&lt;15000,$D76*12/100,15000*12/100)</f>
        <v>1270.296</v>
      </c>
      <c r="F76" s="7">
        <f t="shared" si="78"/>
        <v>1270.296</v>
      </c>
      <c r="G76" s="7">
        <f t="shared" si="4"/>
        <v>2540.592</v>
      </c>
    </row>
    <row r="77">
      <c r="A77" s="8">
        <f t="shared" si="5"/>
        <v>76</v>
      </c>
      <c r="B77" s="44" t="s">
        <v>362</v>
      </c>
      <c r="C77" s="42">
        <v>21357.0</v>
      </c>
      <c r="D77" s="7">
        <f t="shared" si="2"/>
        <v>12814.2</v>
      </c>
      <c r="E77" s="7">
        <f t="shared" ref="E77:F77" si="79">if($D77&lt;15000,$D77*12/100,15000*12/100)</f>
        <v>1537.704</v>
      </c>
      <c r="F77" s="7">
        <f t="shared" si="79"/>
        <v>1537.704</v>
      </c>
      <c r="G77" s="7">
        <f t="shared" si="4"/>
        <v>3075.408</v>
      </c>
    </row>
    <row r="78">
      <c r="A78" s="8">
        <f t="shared" si="5"/>
        <v>77</v>
      </c>
      <c r="B78" s="44" t="s">
        <v>363</v>
      </c>
      <c r="C78" s="42">
        <v>25071.0</v>
      </c>
      <c r="D78" s="7">
        <f t="shared" si="2"/>
        <v>15042.6</v>
      </c>
      <c r="E78" s="7">
        <f t="shared" ref="E78:F78" si="80">if($D78&lt;15000,$D78*12/100,15000*12/100)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4" t="s">
        <v>365</v>
      </c>
      <c r="C79" s="42">
        <v>9036.0</v>
      </c>
      <c r="D79" s="7">
        <f t="shared" si="2"/>
        <v>5421.6</v>
      </c>
      <c r="E79" s="7">
        <f t="shared" ref="E79:F79" si="81">if($D79&lt;15000,$D79*12/100,15000*12/100)</f>
        <v>650.592</v>
      </c>
      <c r="F79" s="7">
        <f t="shared" si="81"/>
        <v>650.592</v>
      </c>
      <c r="G79" s="7">
        <f t="shared" si="4"/>
        <v>1301.184</v>
      </c>
    </row>
    <row r="80">
      <c r="A80" s="8">
        <f t="shared" si="5"/>
        <v>79</v>
      </c>
      <c r="B80" s="44" t="s">
        <v>367</v>
      </c>
      <c r="C80" s="42">
        <v>13393.0</v>
      </c>
      <c r="D80" s="7">
        <f t="shared" si="2"/>
        <v>8035.8</v>
      </c>
      <c r="E80" s="7">
        <f t="shared" ref="E80:F80" si="82">if($D80&lt;15000,$D80*12/100,15000*12/100)</f>
        <v>964.296</v>
      </c>
      <c r="F80" s="7">
        <f t="shared" si="82"/>
        <v>964.296</v>
      </c>
      <c r="G80" s="7">
        <f t="shared" si="4"/>
        <v>1928.592</v>
      </c>
    </row>
    <row r="81">
      <c r="A81" s="8">
        <f t="shared" si="5"/>
        <v>80</v>
      </c>
      <c r="B81" s="44" t="s">
        <v>368</v>
      </c>
      <c r="C81" s="42">
        <v>14464.0</v>
      </c>
      <c r="D81" s="7">
        <f t="shared" si="2"/>
        <v>8678.4</v>
      </c>
      <c r="E81" s="7">
        <f t="shared" ref="E81:F81" si="83">if($D81&lt;15000,$D81*12/100,15000*12/100)</f>
        <v>1041.408</v>
      </c>
      <c r="F81" s="7">
        <f t="shared" si="83"/>
        <v>1041.408</v>
      </c>
      <c r="G81" s="7">
        <f t="shared" si="4"/>
        <v>2082.816</v>
      </c>
    </row>
    <row r="82">
      <c r="A82" s="8">
        <f t="shared" si="5"/>
        <v>81</v>
      </c>
      <c r="B82" s="44" t="s">
        <v>369</v>
      </c>
      <c r="C82" s="42">
        <v>14464.0</v>
      </c>
      <c r="D82" s="7">
        <f t="shared" si="2"/>
        <v>8678.4</v>
      </c>
      <c r="E82" s="7">
        <f t="shared" ref="E82:F82" si="84">if($D82&lt;15000,$D82*12/100,15000*12/100)</f>
        <v>1041.408</v>
      </c>
      <c r="F82" s="7">
        <f t="shared" si="84"/>
        <v>1041.408</v>
      </c>
      <c r="G82" s="7">
        <f t="shared" si="4"/>
        <v>2082.816</v>
      </c>
    </row>
    <row r="83">
      <c r="A83" s="8">
        <f t="shared" si="5"/>
        <v>82</v>
      </c>
      <c r="B83" s="30" t="s">
        <v>370</v>
      </c>
      <c r="C83" s="42">
        <v>14464.0</v>
      </c>
      <c r="D83" s="7">
        <f t="shared" si="2"/>
        <v>8678.4</v>
      </c>
      <c r="E83" s="7">
        <f t="shared" ref="E83:F83" si="85">if($D83&lt;15000,$D83*12/100,15000*12/100)</f>
        <v>1041.408</v>
      </c>
      <c r="F83" s="7">
        <f t="shared" si="85"/>
        <v>1041.408</v>
      </c>
      <c r="G83" s="7">
        <f t="shared" si="4"/>
        <v>2082.816</v>
      </c>
    </row>
    <row r="84">
      <c r="A84" s="8">
        <f t="shared" si="5"/>
        <v>83</v>
      </c>
      <c r="B84" s="30" t="s">
        <v>371</v>
      </c>
      <c r="C84" s="42">
        <v>18000.0</v>
      </c>
      <c r="D84" s="7">
        <f t="shared" si="2"/>
        <v>10800</v>
      </c>
      <c r="E84" s="7">
        <f t="shared" ref="E84:F84" si="86">if($D84&lt;15000,$D84*12/100,15000*12/100)</f>
        <v>1296</v>
      </c>
      <c r="F84" s="7">
        <f t="shared" si="86"/>
        <v>1296</v>
      </c>
      <c r="G84" s="7">
        <f t="shared" si="4"/>
        <v>2592</v>
      </c>
    </row>
    <row r="85">
      <c r="A85" s="8">
        <f t="shared" si="5"/>
        <v>84</v>
      </c>
      <c r="B85" s="44" t="s">
        <v>372</v>
      </c>
      <c r="C85" s="42">
        <v>14464.0</v>
      </c>
      <c r="D85" s="7">
        <f t="shared" si="2"/>
        <v>8678.4</v>
      </c>
      <c r="E85" s="7">
        <f t="shared" ref="E85:F85" si="87">if($D85&lt;15000,$D85*12/100,15000*12/100)</f>
        <v>1041.408</v>
      </c>
      <c r="F85" s="7">
        <f t="shared" si="87"/>
        <v>1041.408</v>
      </c>
      <c r="G85" s="7">
        <f t="shared" si="4"/>
        <v>2082.816</v>
      </c>
    </row>
    <row r="86">
      <c r="A86" s="8">
        <f t="shared" si="5"/>
        <v>85</v>
      </c>
      <c r="B86" s="44" t="s">
        <v>373</v>
      </c>
      <c r="C86" s="42">
        <v>25000.0</v>
      </c>
      <c r="D86" s="7">
        <f t="shared" si="2"/>
        <v>15000</v>
      </c>
      <c r="E86" s="7">
        <f t="shared" ref="E86:F86" si="88">if($D86&lt;15000,$D86*12/100,15000*12/100)</f>
        <v>1800</v>
      </c>
      <c r="F86" s="7">
        <f t="shared" si="88"/>
        <v>1800</v>
      </c>
      <c r="G86" s="7">
        <f t="shared" si="4"/>
        <v>3600</v>
      </c>
    </row>
    <row r="87">
      <c r="A87" s="8">
        <f t="shared" si="5"/>
        <v>86</v>
      </c>
      <c r="B87" s="44" t="s">
        <v>374</v>
      </c>
      <c r="C87" s="42">
        <v>25000.0</v>
      </c>
      <c r="D87" s="7">
        <f t="shared" si="2"/>
        <v>15000</v>
      </c>
      <c r="E87" s="7">
        <f t="shared" ref="E87:F87" si="89">if($D87&lt;15000,$D87*12/100,15000*12/100)</f>
        <v>1800</v>
      </c>
      <c r="F87" s="7">
        <f t="shared" si="89"/>
        <v>1800</v>
      </c>
      <c r="G87" s="7">
        <f t="shared" si="4"/>
        <v>3600</v>
      </c>
    </row>
    <row r="88">
      <c r="A88" s="8">
        <f t="shared" si="5"/>
        <v>87</v>
      </c>
      <c r="B88" s="51" t="s">
        <v>379</v>
      </c>
      <c r="C88" s="42">
        <v>30000.0</v>
      </c>
      <c r="D88" s="7">
        <f t="shared" si="2"/>
        <v>18000</v>
      </c>
      <c r="E88" s="7">
        <f t="shared" ref="E88:F88" si="90">if($D88&lt;15000,$D88*12/100,15000*12/100)</f>
        <v>1800</v>
      </c>
      <c r="F88" s="7">
        <f t="shared" si="90"/>
        <v>1800</v>
      </c>
      <c r="G88" s="7">
        <f t="shared" si="4"/>
        <v>3600</v>
      </c>
    </row>
    <row r="89">
      <c r="A89" s="8">
        <f t="shared" si="5"/>
        <v>88</v>
      </c>
      <c r="B89" s="52" t="s">
        <v>380</v>
      </c>
      <c r="C89" s="42">
        <v>8143.0</v>
      </c>
      <c r="D89" s="7">
        <f t="shared" si="2"/>
        <v>4885.8</v>
      </c>
      <c r="E89" s="7">
        <f t="shared" ref="E89:F89" si="91">if($D89&lt;15000,$D89*12/100,15000*12/100)</f>
        <v>586.296</v>
      </c>
      <c r="F89" s="7">
        <f t="shared" si="91"/>
        <v>586.296</v>
      </c>
      <c r="G89" s="7">
        <f t="shared" si="4"/>
        <v>1172.592</v>
      </c>
    </row>
    <row r="90">
      <c r="A90" s="8">
        <f t="shared" si="5"/>
        <v>89</v>
      </c>
      <c r="B90" s="52" t="s">
        <v>376</v>
      </c>
      <c r="C90" s="42">
        <v>25000.0</v>
      </c>
      <c r="D90" s="7">
        <f t="shared" si="2"/>
        <v>15000</v>
      </c>
      <c r="E90" s="7">
        <f t="shared" ref="E90:F90" si="92">if($D90&lt;15000,$D90*12/100,15000*12/100)</f>
        <v>1800</v>
      </c>
      <c r="F90" s="7">
        <f t="shared" si="92"/>
        <v>1800</v>
      </c>
      <c r="G90" s="7">
        <f t="shared" si="4"/>
        <v>3600</v>
      </c>
    </row>
    <row r="91">
      <c r="A91" s="9" t="s">
        <v>34</v>
      </c>
      <c r="B91" s="10"/>
      <c r="C91" s="11">
        <f t="shared" ref="C91:G91" si="93">sum(C2:C90)</f>
        <v>2014949</v>
      </c>
      <c r="D91" s="11">
        <f t="shared" si="93"/>
        <v>1208969.4</v>
      </c>
      <c r="E91" s="11">
        <f t="shared" si="93"/>
        <v>125569.44</v>
      </c>
      <c r="F91" s="11">
        <f t="shared" si="93"/>
        <v>125569.44</v>
      </c>
      <c r="G91" s="11">
        <f t="shared" si="93"/>
        <v>251138.88</v>
      </c>
    </row>
  </sheetData>
  <mergeCells count="1">
    <mergeCell ref="A91:B91"/>
  </mergeCells>
  <hyperlinks>
    <hyperlink r:id="rId1" ref="A1"/>
  </hyperlin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381</v>
      </c>
      <c r="C2" s="3">
        <v>73161.0</v>
      </c>
      <c r="D2" s="7">
        <f t="shared" ref="D2:D95" si="2">C2*60/100</f>
        <v>43896.6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5" si="4">E2+F2</f>
        <v>3600</v>
      </c>
    </row>
    <row r="3">
      <c r="A3" s="8">
        <f t="shared" ref="A3:A95" si="5">A2+1</f>
        <v>2</v>
      </c>
      <c r="B3" s="46" t="s">
        <v>287</v>
      </c>
      <c r="C3" s="3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46" t="s">
        <v>288</v>
      </c>
      <c r="C4" s="3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289</v>
      </c>
      <c r="C5" s="3">
        <v>7548.0</v>
      </c>
      <c r="D5" s="7">
        <f t="shared" si="2"/>
        <v>4528.8</v>
      </c>
      <c r="E5" s="7">
        <f t="shared" ref="E5:F5" si="7">if($D5&lt;15000,$D5*12/100,15000*12/100)</f>
        <v>543.456</v>
      </c>
      <c r="F5" s="7">
        <f t="shared" si="7"/>
        <v>543.456</v>
      </c>
      <c r="G5" s="7">
        <f t="shared" si="4"/>
        <v>1086.912</v>
      </c>
    </row>
    <row r="6">
      <c r="A6" s="8">
        <f t="shared" si="5"/>
        <v>5</v>
      </c>
      <c r="B6" s="46" t="s">
        <v>290</v>
      </c>
      <c r="C6" s="3">
        <v>6452.0</v>
      </c>
      <c r="D6" s="7">
        <f t="shared" si="2"/>
        <v>3871.2</v>
      </c>
      <c r="E6" s="7">
        <f t="shared" ref="E6:F6" si="8">if($D6&lt;15000,$D6*12/100,15000*12/100)</f>
        <v>464.544</v>
      </c>
      <c r="F6" s="7">
        <f t="shared" si="8"/>
        <v>464.544</v>
      </c>
      <c r="G6" s="7">
        <f t="shared" si="4"/>
        <v>929.088</v>
      </c>
    </row>
    <row r="7">
      <c r="A7" s="8">
        <f t="shared" si="5"/>
        <v>6</v>
      </c>
      <c r="B7" s="46" t="s">
        <v>291</v>
      </c>
      <c r="C7" s="3">
        <v>24000.0</v>
      </c>
      <c r="D7" s="7">
        <f t="shared" si="2"/>
        <v>14400</v>
      </c>
      <c r="E7" s="7">
        <f t="shared" ref="E7:F7" si="9">if($D7&lt;15000,$D7*12/100,15000*12/100)</f>
        <v>1728</v>
      </c>
      <c r="F7" s="7">
        <f t="shared" si="9"/>
        <v>1728</v>
      </c>
      <c r="G7" s="7">
        <f t="shared" si="4"/>
        <v>3456</v>
      </c>
    </row>
    <row r="8">
      <c r="A8" s="8">
        <f t="shared" si="5"/>
        <v>7</v>
      </c>
      <c r="B8" s="53" t="s">
        <v>382</v>
      </c>
      <c r="C8" s="3">
        <v>24000.0</v>
      </c>
      <c r="D8" s="7">
        <f t="shared" si="2"/>
        <v>14400</v>
      </c>
      <c r="E8" s="7">
        <f t="shared" ref="E8:F8" si="10">if($D8&lt;15000,$D8*12/100,15000*12/100)</f>
        <v>1728</v>
      </c>
      <c r="F8" s="7">
        <f t="shared" si="10"/>
        <v>1728</v>
      </c>
      <c r="G8" s="7">
        <f t="shared" si="4"/>
        <v>3456</v>
      </c>
    </row>
    <row r="9">
      <c r="A9" s="8">
        <f t="shared" si="5"/>
        <v>8</v>
      </c>
      <c r="B9" s="46" t="s">
        <v>293</v>
      </c>
      <c r="C9" s="3">
        <v>18387.0</v>
      </c>
      <c r="D9" s="7">
        <f t="shared" si="2"/>
        <v>11032.2</v>
      </c>
      <c r="E9" s="7">
        <f t="shared" ref="E9:F9" si="11">if($D9&lt;15000,$D9*12/100,15000*12/100)</f>
        <v>1323.864</v>
      </c>
      <c r="F9" s="7">
        <f t="shared" si="11"/>
        <v>1323.864</v>
      </c>
      <c r="G9" s="7">
        <f t="shared" si="4"/>
        <v>2647.728</v>
      </c>
    </row>
    <row r="10">
      <c r="A10" s="8">
        <f t="shared" si="5"/>
        <v>9</v>
      </c>
      <c r="B10" s="46" t="s">
        <v>294</v>
      </c>
      <c r="C10" s="3">
        <v>70161.0</v>
      </c>
      <c r="D10" s="7">
        <f t="shared" si="2"/>
        <v>42096.6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46" t="s">
        <v>295</v>
      </c>
      <c r="C11" s="3">
        <v>75000.0</v>
      </c>
      <c r="D11" s="7">
        <f t="shared" si="2"/>
        <v>45000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46" t="s">
        <v>296</v>
      </c>
      <c r="C12" s="3">
        <v>77000.0</v>
      </c>
      <c r="D12" s="7">
        <f t="shared" si="2"/>
        <v>46200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46" t="s">
        <v>297</v>
      </c>
      <c r="C13" s="3">
        <v>72000.0</v>
      </c>
      <c r="D13" s="7">
        <f t="shared" si="2"/>
        <v>43200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46" t="s">
        <v>298</v>
      </c>
      <c r="C14" s="3">
        <v>25258.0</v>
      </c>
      <c r="D14" s="7">
        <f t="shared" si="2"/>
        <v>15154.8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46" t="s">
        <v>299</v>
      </c>
      <c r="C15" s="3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46" t="s">
        <v>300</v>
      </c>
      <c r="C16" s="3">
        <v>31000.0</v>
      </c>
      <c r="D16" s="7">
        <f t="shared" si="2"/>
        <v>18600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46" t="s">
        <v>301</v>
      </c>
      <c r="C17" s="3">
        <v>32000.0</v>
      </c>
      <c r="D17" s="7">
        <f t="shared" si="2"/>
        <v>19200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46" t="s">
        <v>302</v>
      </c>
      <c r="C18" s="3">
        <v>26194.0</v>
      </c>
      <c r="D18" s="7">
        <f t="shared" si="2"/>
        <v>15716.4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46" t="s">
        <v>303</v>
      </c>
      <c r="C19" s="3">
        <v>24000.0</v>
      </c>
      <c r="D19" s="7">
        <f t="shared" si="2"/>
        <v>14400</v>
      </c>
      <c r="E19" s="7">
        <f t="shared" ref="E19:F19" si="21">if($D19&lt;15000,$D19*12/100,15000*12/100)</f>
        <v>1728</v>
      </c>
      <c r="F19" s="7">
        <f t="shared" si="21"/>
        <v>1728</v>
      </c>
      <c r="G19" s="7">
        <f t="shared" si="4"/>
        <v>3456</v>
      </c>
    </row>
    <row r="20">
      <c r="A20" s="8">
        <f t="shared" si="5"/>
        <v>19</v>
      </c>
      <c r="B20" s="46" t="s">
        <v>304</v>
      </c>
      <c r="C20" s="3">
        <v>25694.0</v>
      </c>
      <c r="D20" s="7">
        <f t="shared" si="2"/>
        <v>15416.4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46" t="s">
        <v>305</v>
      </c>
      <c r="C21" s="3">
        <v>32355.0</v>
      </c>
      <c r="D21" s="7">
        <f t="shared" si="2"/>
        <v>19413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46" t="s">
        <v>306</v>
      </c>
      <c r="C22" s="3">
        <v>26129.0</v>
      </c>
      <c r="D22" s="7">
        <f t="shared" si="2"/>
        <v>15677.4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46" t="s">
        <v>307</v>
      </c>
      <c r="C23" s="3">
        <v>37000.0</v>
      </c>
      <c r="D23" s="7">
        <f t="shared" si="2"/>
        <v>22200</v>
      </c>
      <c r="E23" s="7">
        <f t="shared" ref="E23:F23" si="25">if($D23&lt;15000,$D23*12/100,15000*12/100)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46" t="s">
        <v>308</v>
      </c>
      <c r="C24" s="3">
        <v>32000.0</v>
      </c>
      <c r="D24" s="7">
        <f t="shared" si="2"/>
        <v>19200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46" t="s">
        <v>309</v>
      </c>
      <c r="C25" s="3">
        <v>27000.0</v>
      </c>
      <c r="D25" s="7">
        <f t="shared" si="2"/>
        <v>16200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46" t="s">
        <v>310</v>
      </c>
      <c r="C26" s="3">
        <v>21516.0</v>
      </c>
      <c r="D26" s="7">
        <f t="shared" si="2"/>
        <v>12909.6</v>
      </c>
      <c r="E26" s="7">
        <f t="shared" ref="E26:F26" si="28">if($D26&lt;15000,$D26*12/100,15000*12/100)</f>
        <v>1549.152</v>
      </c>
      <c r="F26" s="7">
        <f t="shared" si="28"/>
        <v>1549.152</v>
      </c>
      <c r="G26" s="7">
        <f t="shared" si="4"/>
        <v>3098.304</v>
      </c>
    </row>
    <row r="27">
      <c r="A27" s="8">
        <f t="shared" si="5"/>
        <v>26</v>
      </c>
      <c r="B27" s="46" t="s">
        <v>311</v>
      </c>
      <c r="C27" s="3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46" t="s">
        <v>312</v>
      </c>
      <c r="C28" s="3">
        <v>18548.0</v>
      </c>
      <c r="D28" s="7">
        <f t="shared" si="2"/>
        <v>11128.8</v>
      </c>
      <c r="E28" s="7">
        <f t="shared" ref="E28:F28" si="30">if($D28&lt;15000,$D28*12/100,15000*12/100)</f>
        <v>1335.456</v>
      </c>
      <c r="F28" s="7">
        <f t="shared" si="30"/>
        <v>1335.456</v>
      </c>
      <c r="G28" s="7">
        <f t="shared" si="4"/>
        <v>2670.912</v>
      </c>
    </row>
    <row r="29">
      <c r="A29" s="8">
        <f t="shared" si="5"/>
        <v>28</v>
      </c>
      <c r="B29" s="46" t="s">
        <v>313</v>
      </c>
      <c r="C29" s="3">
        <v>7202.0</v>
      </c>
      <c r="D29" s="7">
        <f t="shared" si="2"/>
        <v>4321.2</v>
      </c>
      <c r="E29" s="7">
        <f t="shared" ref="E29:F29" si="31">if($D29&lt;15000,$D29*12/100,15000*12/100)</f>
        <v>518.544</v>
      </c>
      <c r="F29" s="7">
        <f t="shared" si="31"/>
        <v>518.544</v>
      </c>
      <c r="G29" s="7">
        <f t="shared" si="4"/>
        <v>1037.088</v>
      </c>
    </row>
    <row r="30">
      <c r="A30" s="8">
        <f t="shared" si="5"/>
        <v>29</v>
      </c>
      <c r="B30" s="46" t="s">
        <v>314</v>
      </c>
      <c r="C30" s="3">
        <v>19355.0</v>
      </c>
      <c r="D30" s="7">
        <f t="shared" si="2"/>
        <v>11613</v>
      </c>
      <c r="E30" s="7">
        <f t="shared" ref="E30:F30" si="32">if($D30&lt;15000,$D30*12/100,15000*12/100)</f>
        <v>1393.56</v>
      </c>
      <c r="F30" s="7">
        <f t="shared" si="32"/>
        <v>1393.56</v>
      </c>
      <c r="G30" s="7">
        <f t="shared" si="4"/>
        <v>2787.12</v>
      </c>
    </row>
    <row r="31">
      <c r="A31" s="8">
        <f t="shared" si="5"/>
        <v>30</v>
      </c>
      <c r="B31" s="46" t="s">
        <v>315</v>
      </c>
      <c r="C31" s="3">
        <v>17774.0</v>
      </c>
      <c r="D31" s="7">
        <f t="shared" si="2"/>
        <v>10664.4</v>
      </c>
      <c r="E31" s="7">
        <f t="shared" ref="E31:F31" si="33">if($D31&lt;15000,$D31*12/100,15000*12/100)</f>
        <v>1279.728</v>
      </c>
      <c r="F31" s="7">
        <f t="shared" si="33"/>
        <v>1279.728</v>
      </c>
      <c r="G31" s="7">
        <f t="shared" si="4"/>
        <v>2559.456</v>
      </c>
    </row>
    <row r="32">
      <c r="A32" s="8">
        <f t="shared" si="5"/>
        <v>31</v>
      </c>
      <c r="B32" s="46" t="s">
        <v>316</v>
      </c>
      <c r="C32" s="3">
        <v>16000.0</v>
      </c>
      <c r="D32" s="7">
        <f t="shared" si="2"/>
        <v>9600</v>
      </c>
      <c r="E32" s="7">
        <f t="shared" ref="E32:F32" si="34">if($D32&lt;15000,$D32*12/100,15000*12/100)</f>
        <v>1152</v>
      </c>
      <c r="F32" s="7">
        <f t="shared" si="34"/>
        <v>1152</v>
      </c>
      <c r="G32" s="7">
        <f t="shared" si="4"/>
        <v>2304</v>
      </c>
    </row>
    <row r="33">
      <c r="A33" s="8">
        <f t="shared" si="5"/>
        <v>32</v>
      </c>
      <c r="B33" s="46" t="s">
        <v>317</v>
      </c>
      <c r="C33" s="3">
        <v>14371.0</v>
      </c>
      <c r="D33" s="7">
        <f t="shared" si="2"/>
        <v>8622.6</v>
      </c>
      <c r="E33" s="7">
        <f t="shared" ref="E33:F33" si="35">if($D33&lt;15000,$D33*12/100,15000*12/100)</f>
        <v>1034.712</v>
      </c>
      <c r="F33" s="7">
        <f t="shared" si="35"/>
        <v>1034.712</v>
      </c>
      <c r="G33" s="7">
        <f t="shared" si="4"/>
        <v>2069.424</v>
      </c>
    </row>
    <row r="34">
      <c r="A34" s="8">
        <f t="shared" si="5"/>
        <v>33</v>
      </c>
      <c r="B34" s="46" t="s">
        <v>318</v>
      </c>
      <c r="C34" s="3">
        <v>20903.0</v>
      </c>
      <c r="D34" s="7">
        <f t="shared" si="2"/>
        <v>12541.8</v>
      </c>
      <c r="E34" s="7">
        <f t="shared" ref="E34:F34" si="36">if($D34&lt;15000,$D34*12/100,15000*12/100)</f>
        <v>1505.016</v>
      </c>
      <c r="F34" s="7">
        <f t="shared" si="36"/>
        <v>1505.016</v>
      </c>
      <c r="G34" s="7">
        <f t="shared" si="4"/>
        <v>3010.032</v>
      </c>
    </row>
    <row r="35">
      <c r="A35" s="8">
        <f t="shared" si="5"/>
        <v>34</v>
      </c>
      <c r="B35" s="46" t="s">
        <v>319</v>
      </c>
      <c r="C35" s="3">
        <v>22839.0</v>
      </c>
      <c r="D35" s="7">
        <f t="shared" si="2"/>
        <v>13703.4</v>
      </c>
      <c r="E35" s="7">
        <f t="shared" ref="E35:F35" si="37">if($D35&lt;15000,$D35*12/100,15000*12/100)</f>
        <v>1644.408</v>
      </c>
      <c r="F35" s="7">
        <f t="shared" si="37"/>
        <v>1644.408</v>
      </c>
      <c r="G35" s="7">
        <f t="shared" si="4"/>
        <v>3288.816</v>
      </c>
    </row>
    <row r="36">
      <c r="A36" s="8">
        <f t="shared" si="5"/>
        <v>35</v>
      </c>
      <c r="B36" s="46" t="s">
        <v>320</v>
      </c>
      <c r="C36" s="3">
        <v>22000.0</v>
      </c>
      <c r="D36" s="7">
        <f t="shared" si="2"/>
        <v>13200</v>
      </c>
      <c r="E36" s="7">
        <f t="shared" ref="E36:F36" si="38">if($D36&lt;15000,$D36*12/100,15000*12/100)</f>
        <v>1584</v>
      </c>
      <c r="F36" s="7">
        <f t="shared" si="38"/>
        <v>1584</v>
      </c>
      <c r="G36" s="7">
        <f t="shared" si="4"/>
        <v>3168</v>
      </c>
    </row>
    <row r="37">
      <c r="A37" s="8">
        <f t="shared" si="5"/>
        <v>36</v>
      </c>
      <c r="B37" s="46" t="s">
        <v>321</v>
      </c>
      <c r="C37" s="20">
        <v>15903.0</v>
      </c>
      <c r="D37" s="7">
        <f t="shared" si="2"/>
        <v>9541.8</v>
      </c>
      <c r="E37" s="7">
        <f t="shared" ref="E37:F37" si="39">if($D37&lt;15000,$D37*12/100,15000*12/100)</f>
        <v>1145.016</v>
      </c>
      <c r="F37" s="7">
        <f t="shared" si="39"/>
        <v>1145.016</v>
      </c>
      <c r="G37" s="7">
        <f t="shared" si="4"/>
        <v>2290.032</v>
      </c>
    </row>
    <row r="38">
      <c r="A38" s="8">
        <f t="shared" si="5"/>
        <v>37</v>
      </c>
      <c r="B38" s="40" t="s">
        <v>322</v>
      </c>
      <c r="C38" s="20">
        <v>12161.0</v>
      </c>
      <c r="D38" s="7">
        <f t="shared" si="2"/>
        <v>7296.6</v>
      </c>
      <c r="E38" s="7">
        <f t="shared" ref="E38:F38" si="40">if($D38&lt;15000,$D38*12/100,15000*12/100)</f>
        <v>875.592</v>
      </c>
      <c r="F38" s="7">
        <f t="shared" si="40"/>
        <v>875.592</v>
      </c>
      <c r="G38" s="7">
        <f t="shared" si="4"/>
        <v>1751.184</v>
      </c>
    </row>
    <row r="39">
      <c r="A39" s="8">
        <f t="shared" si="5"/>
        <v>38</v>
      </c>
      <c r="B39" s="40" t="s">
        <v>323</v>
      </c>
      <c r="C39" s="20">
        <v>15000.0</v>
      </c>
      <c r="D39" s="7">
        <f t="shared" si="2"/>
        <v>9000</v>
      </c>
      <c r="E39" s="7">
        <f t="shared" ref="E39:F39" si="41">if($D39&lt;15000,$D39*12/100,15000*12/100)</f>
        <v>1080</v>
      </c>
      <c r="F39" s="7">
        <f t="shared" si="41"/>
        <v>1080</v>
      </c>
      <c r="G39" s="7">
        <f t="shared" si="4"/>
        <v>2160</v>
      </c>
    </row>
    <row r="40">
      <c r="A40" s="8">
        <f t="shared" si="5"/>
        <v>39</v>
      </c>
      <c r="B40" s="40" t="s">
        <v>324</v>
      </c>
      <c r="C40" s="20">
        <v>15000.0</v>
      </c>
      <c r="D40" s="7">
        <f t="shared" si="2"/>
        <v>9000</v>
      </c>
      <c r="E40" s="7">
        <f t="shared" ref="E40:F40" si="42">if($D40&lt;15000,$D40*12/100,15000*12/100)</f>
        <v>1080</v>
      </c>
      <c r="F40" s="7">
        <f t="shared" si="42"/>
        <v>1080</v>
      </c>
      <c r="G40" s="7">
        <f t="shared" si="4"/>
        <v>2160</v>
      </c>
    </row>
    <row r="41">
      <c r="A41" s="8">
        <f t="shared" si="5"/>
        <v>40</v>
      </c>
      <c r="B41" s="40" t="s">
        <v>325</v>
      </c>
      <c r="C41" s="20">
        <v>21000.0</v>
      </c>
      <c r="D41" s="7">
        <f t="shared" si="2"/>
        <v>12600</v>
      </c>
      <c r="E41" s="7">
        <f t="shared" ref="E41:F41" si="43">if($D41&lt;15000,$D41*12/100,15000*12/100)</f>
        <v>1512</v>
      </c>
      <c r="F41" s="7">
        <f t="shared" si="43"/>
        <v>1512</v>
      </c>
      <c r="G41" s="7">
        <f t="shared" si="4"/>
        <v>3024</v>
      </c>
    </row>
    <row r="42">
      <c r="A42" s="8">
        <f t="shared" si="5"/>
        <v>41</v>
      </c>
      <c r="B42" s="40" t="s">
        <v>326</v>
      </c>
      <c r="C42" s="20">
        <v>14516.0</v>
      </c>
      <c r="D42" s="7">
        <f t="shared" si="2"/>
        <v>8709.6</v>
      </c>
      <c r="E42" s="7">
        <f t="shared" ref="E42:F42" si="44">if($D42&lt;15000,$D42*12/100,15000*12/100)</f>
        <v>1045.152</v>
      </c>
      <c r="F42" s="7">
        <f t="shared" si="44"/>
        <v>1045.152</v>
      </c>
      <c r="G42" s="7">
        <f t="shared" si="4"/>
        <v>2090.304</v>
      </c>
    </row>
    <row r="43">
      <c r="A43" s="8">
        <f t="shared" si="5"/>
        <v>42</v>
      </c>
      <c r="B43" s="40" t="s">
        <v>327</v>
      </c>
      <c r="C43" s="20">
        <v>21000.0</v>
      </c>
      <c r="D43" s="7">
        <f t="shared" si="2"/>
        <v>12600</v>
      </c>
      <c r="E43" s="7">
        <f t="shared" ref="E43:F43" si="45">if($D43&lt;15000,$D43*12/100,15000*12/100)</f>
        <v>1512</v>
      </c>
      <c r="F43" s="7">
        <f t="shared" si="45"/>
        <v>1512</v>
      </c>
      <c r="G43" s="7">
        <f t="shared" si="4"/>
        <v>3024</v>
      </c>
    </row>
    <row r="44">
      <c r="A44" s="8">
        <f t="shared" si="5"/>
        <v>43</v>
      </c>
      <c r="B44" s="40" t="s">
        <v>328</v>
      </c>
      <c r="C44" s="20">
        <v>26565.0</v>
      </c>
      <c r="D44" s="7">
        <f t="shared" si="2"/>
        <v>15939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40" t="s">
        <v>331</v>
      </c>
      <c r="C45" s="20">
        <v>16000.0</v>
      </c>
      <c r="D45" s="7">
        <f t="shared" si="2"/>
        <v>9600</v>
      </c>
      <c r="E45" s="7">
        <f t="shared" ref="E45:F45" si="47">if($D45&lt;15000,$D45*12/100,15000*12/100)</f>
        <v>1152</v>
      </c>
      <c r="F45" s="7">
        <f t="shared" si="47"/>
        <v>1152</v>
      </c>
      <c r="G45" s="7">
        <f t="shared" si="4"/>
        <v>2304</v>
      </c>
    </row>
    <row r="46">
      <c r="A46" s="8">
        <f t="shared" si="5"/>
        <v>45</v>
      </c>
      <c r="B46" s="40" t="s">
        <v>332</v>
      </c>
      <c r="C46" s="20">
        <v>19000.0</v>
      </c>
      <c r="D46" s="7">
        <f t="shared" si="2"/>
        <v>11400</v>
      </c>
      <c r="E46" s="7">
        <f t="shared" ref="E46:F46" si="48">if($D46&lt;15000,$D46*12/100,15000*12/100)</f>
        <v>1368</v>
      </c>
      <c r="F46" s="7">
        <f t="shared" si="48"/>
        <v>1368</v>
      </c>
      <c r="G46" s="7">
        <f t="shared" si="4"/>
        <v>2736</v>
      </c>
    </row>
    <row r="47">
      <c r="A47" s="8">
        <f t="shared" si="5"/>
        <v>46</v>
      </c>
      <c r="B47" s="40" t="s">
        <v>333</v>
      </c>
      <c r="C47" s="20">
        <v>16452.0</v>
      </c>
      <c r="D47" s="7">
        <f t="shared" si="2"/>
        <v>9871.2</v>
      </c>
      <c r="E47" s="7">
        <f t="shared" ref="E47:F47" si="49">if($D47&lt;15000,$D47*12/100,15000*12/100)</f>
        <v>1184.544</v>
      </c>
      <c r="F47" s="7">
        <f t="shared" si="49"/>
        <v>1184.544</v>
      </c>
      <c r="G47" s="7">
        <f t="shared" si="4"/>
        <v>2369.088</v>
      </c>
    </row>
    <row r="48">
      <c r="A48" s="8">
        <f t="shared" si="5"/>
        <v>47</v>
      </c>
      <c r="B48" s="40" t="s">
        <v>334</v>
      </c>
      <c r="C48" s="20">
        <v>20000.0</v>
      </c>
      <c r="D48" s="7">
        <f t="shared" si="2"/>
        <v>12000</v>
      </c>
      <c r="E48" s="7">
        <f t="shared" ref="E48:F48" si="50">if($D48&lt;15000,$D48*12/100,15000*12/100)</f>
        <v>1440</v>
      </c>
      <c r="F48" s="7">
        <f t="shared" si="50"/>
        <v>1440</v>
      </c>
      <c r="G48" s="7">
        <f t="shared" si="4"/>
        <v>2880</v>
      </c>
    </row>
    <row r="49">
      <c r="A49" s="8">
        <f t="shared" si="5"/>
        <v>48</v>
      </c>
      <c r="B49" s="40" t="s">
        <v>335</v>
      </c>
      <c r="C49" s="20">
        <v>16000.0</v>
      </c>
      <c r="D49" s="7">
        <f t="shared" si="2"/>
        <v>9600</v>
      </c>
      <c r="E49" s="7">
        <f t="shared" ref="E49:F49" si="51">if($D49&lt;15000,$D49*12/100,15000*12/100)</f>
        <v>1152</v>
      </c>
      <c r="F49" s="7">
        <f t="shared" si="51"/>
        <v>1152</v>
      </c>
      <c r="G49" s="7">
        <f t="shared" si="4"/>
        <v>2304</v>
      </c>
    </row>
    <row r="50">
      <c r="A50" s="8">
        <f t="shared" si="5"/>
        <v>49</v>
      </c>
      <c r="B50" s="40" t="s">
        <v>336</v>
      </c>
      <c r="C50" s="20">
        <v>17000.0</v>
      </c>
      <c r="D50" s="7">
        <f t="shared" si="2"/>
        <v>10200</v>
      </c>
      <c r="E50" s="7">
        <f t="shared" ref="E50:F50" si="52">if($D50&lt;15000,$D50*12/100,15000*12/100)</f>
        <v>1224</v>
      </c>
      <c r="F50" s="7">
        <f t="shared" si="52"/>
        <v>1224</v>
      </c>
      <c r="G50" s="7">
        <f t="shared" si="4"/>
        <v>2448</v>
      </c>
    </row>
    <row r="51">
      <c r="A51" s="8">
        <f t="shared" si="5"/>
        <v>50</v>
      </c>
      <c r="B51" s="40" t="s">
        <v>337</v>
      </c>
      <c r="C51" s="20">
        <v>14516.0</v>
      </c>
      <c r="D51" s="7">
        <f t="shared" si="2"/>
        <v>8709.6</v>
      </c>
      <c r="E51" s="7">
        <f t="shared" ref="E51:F51" si="53">if($D51&lt;15000,$D51*12/100,15000*12/100)</f>
        <v>1045.152</v>
      </c>
      <c r="F51" s="7">
        <f t="shared" si="53"/>
        <v>1045.152</v>
      </c>
      <c r="G51" s="7">
        <f t="shared" si="4"/>
        <v>2090.304</v>
      </c>
    </row>
    <row r="52">
      <c r="A52" s="8">
        <f t="shared" si="5"/>
        <v>51</v>
      </c>
      <c r="B52" s="54" t="s">
        <v>338</v>
      </c>
      <c r="C52" s="20">
        <v>20000.0</v>
      </c>
      <c r="D52" s="7">
        <f t="shared" si="2"/>
        <v>12000</v>
      </c>
      <c r="E52" s="7">
        <f t="shared" ref="E52:F52" si="54">if($D52&lt;15000,$D52*12/100,15000*12/100)</f>
        <v>1440</v>
      </c>
      <c r="F52" s="7">
        <f t="shared" si="54"/>
        <v>1440</v>
      </c>
      <c r="G52" s="7">
        <f t="shared" si="4"/>
        <v>2880</v>
      </c>
    </row>
    <row r="53">
      <c r="A53" s="8">
        <f t="shared" si="5"/>
        <v>52</v>
      </c>
      <c r="B53" s="40" t="s">
        <v>339</v>
      </c>
      <c r="C53" s="20">
        <v>14516.0</v>
      </c>
      <c r="D53" s="7">
        <f t="shared" si="2"/>
        <v>8709.6</v>
      </c>
      <c r="E53" s="7">
        <f t="shared" ref="E53:F53" si="55">if($D53&lt;15000,$D53*12/100,15000*12/100)</f>
        <v>1045.152</v>
      </c>
      <c r="F53" s="7">
        <f t="shared" si="55"/>
        <v>1045.152</v>
      </c>
      <c r="G53" s="7">
        <f t="shared" si="4"/>
        <v>2090.304</v>
      </c>
    </row>
    <row r="54">
      <c r="A54" s="8">
        <f t="shared" si="5"/>
        <v>53</v>
      </c>
      <c r="B54" s="40" t="s">
        <v>340</v>
      </c>
      <c r="C54" s="20">
        <v>18387.0</v>
      </c>
      <c r="D54" s="7">
        <f t="shared" si="2"/>
        <v>11032.2</v>
      </c>
      <c r="E54" s="7">
        <f t="shared" ref="E54:F54" si="56">if($D54&lt;15000,$D54*12/100,15000*12/100)</f>
        <v>1323.864</v>
      </c>
      <c r="F54" s="7">
        <f t="shared" si="56"/>
        <v>1323.864</v>
      </c>
      <c r="G54" s="7">
        <f t="shared" si="4"/>
        <v>2647.728</v>
      </c>
    </row>
    <row r="55">
      <c r="A55" s="8">
        <f t="shared" si="5"/>
        <v>54</v>
      </c>
      <c r="B55" s="40" t="s">
        <v>341</v>
      </c>
      <c r="C55" s="20">
        <v>22000.0</v>
      </c>
      <c r="D55" s="7">
        <f t="shared" si="2"/>
        <v>13200</v>
      </c>
      <c r="E55" s="7">
        <f t="shared" ref="E55:F55" si="57">if($D55&lt;15000,$D55*12/100,15000*12/100)</f>
        <v>1584</v>
      </c>
      <c r="F55" s="7">
        <f t="shared" si="57"/>
        <v>1584</v>
      </c>
      <c r="G55" s="7">
        <f t="shared" si="4"/>
        <v>3168</v>
      </c>
    </row>
    <row r="56">
      <c r="A56" s="8">
        <f t="shared" si="5"/>
        <v>55</v>
      </c>
      <c r="B56" s="40" t="s">
        <v>342</v>
      </c>
      <c r="C56" s="20">
        <v>8710.0</v>
      </c>
      <c r="D56" s="7">
        <f t="shared" si="2"/>
        <v>5226</v>
      </c>
      <c r="E56" s="7">
        <f t="shared" ref="E56:F56" si="58">if($D56&lt;15000,$D56*12/100,15000*12/100)</f>
        <v>627.12</v>
      </c>
      <c r="F56" s="7">
        <f t="shared" si="58"/>
        <v>627.12</v>
      </c>
      <c r="G56" s="7">
        <f t="shared" si="4"/>
        <v>1254.24</v>
      </c>
    </row>
    <row r="57">
      <c r="A57" s="8">
        <f t="shared" si="5"/>
        <v>56</v>
      </c>
      <c r="B57" s="40" t="s">
        <v>344</v>
      </c>
      <c r="C57" s="20">
        <v>12581.0</v>
      </c>
      <c r="D57" s="7">
        <f t="shared" si="2"/>
        <v>7548.6</v>
      </c>
      <c r="E57" s="7">
        <f t="shared" ref="E57:F57" si="59">if($D57&lt;15000,$D57*12/100,15000*12/100)</f>
        <v>905.832</v>
      </c>
      <c r="F57" s="7">
        <f t="shared" si="59"/>
        <v>905.832</v>
      </c>
      <c r="G57" s="7">
        <f t="shared" si="4"/>
        <v>1811.664</v>
      </c>
    </row>
    <row r="58">
      <c r="A58" s="8">
        <f t="shared" si="5"/>
        <v>57</v>
      </c>
      <c r="B58" s="40" t="s">
        <v>345</v>
      </c>
      <c r="C58" s="20">
        <v>16000.0</v>
      </c>
      <c r="D58" s="7">
        <f t="shared" si="2"/>
        <v>9600</v>
      </c>
      <c r="E58" s="7">
        <f t="shared" ref="E58:F58" si="60">if($D58&lt;15000,$D58*12/100,15000*12/100)</f>
        <v>1152</v>
      </c>
      <c r="F58" s="7">
        <f t="shared" si="60"/>
        <v>1152</v>
      </c>
      <c r="G58" s="7">
        <f t="shared" si="4"/>
        <v>2304</v>
      </c>
    </row>
    <row r="59">
      <c r="A59" s="8">
        <f t="shared" si="5"/>
        <v>58</v>
      </c>
      <c r="B59" s="23" t="s">
        <v>346</v>
      </c>
      <c r="C59" s="3">
        <v>18065.0</v>
      </c>
      <c r="D59" s="7">
        <f t="shared" si="2"/>
        <v>10839</v>
      </c>
      <c r="E59" s="7">
        <f t="shared" ref="E59:F59" si="61">if($D59&lt;15000,$D59*12/100,15000*12/100)</f>
        <v>1300.68</v>
      </c>
      <c r="F59" s="7">
        <f t="shared" si="61"/>
        <v>1300.68</v>
      </c>
      <c r="G59" s="7">
        <f t="shared" si="4"/>
        <v>2601.36</v>
      </c>
    </row>
    <row r="60">
      <c r="A60" s="8">
        <f t="shared" si="5"/>
        <v>59</v>
      </c>
      <c r="B60" s="23" t="s">
        <v>347</v>
      </c>
      <c r="C60" s="3">
        <v>11419.0</v>
      </c>
      <c r="D60" s="7">
        <f t="shared" si="2"/>
        <v>6851.4</v>
      </c>
      <c r="E60" s="7">
        <f t="shared" ref="E60:F60" si="62">if($D60&lt;15000,$D60*12/100,15000*12/100)</f>
        <v>822.168</v>
      </c>
      <c r="F60" s="7">
        <f t="shared" si="62"/>
        <v>822.168</v>
      </c>
      <c r="G60" s="7">
        <f t="shared" si="4"/>
        <v>1644.336</v>
      </c>
    </row>
    <row r="61">
      <c r="A61" s="8">
        <f t="shared" si="5"/>
        <v>60</v>
      </c>
      <c r="B61" s="23" t="s">
        <v>348</v>
      </c>
      <c r="C61" s="3">
        <v>16000.0</v>
      </c>
      <c r="D61" s="7">
        <f t="shared" si="2"/>
        <v>9600</v>
      </c>
      <c r="E61" s="7">
        <f t="shared" ref="E61:F61" si="63">if($D61&lt;15000,$D61*12/100,15000*12/100)</f>
        <v>1152</v>
      </c>
      <c r="F61" s="7">
        <f t="shared" si="63"/>
        <v>1152</v>
      </c>
      <c r="G61" s="7">
        <f t="shared" si="4"/>
        <v>2304</v>
      </c>
    </row>
    <row r="62">
      <c r="A62" s="8">
        <f t="shared" si="5"/>
        <v>61</v>
      </c>
      <c r="B62" s="23" t="s">
        <v>349</v>
      </c>
      <c r="C62" s="3">
        <v>13790.0</v>
      </c>
      <c r="D62" s="7">
        <f t="shared" si="2"/>
        <v>8274</v>
      </c>
      <c r="E62" s="7">
        <f t="shared" ref="E62:F62" si="64">if($D62&lt;15000,$D62*12/100,15000*12/100)</f>
        <v>992.88</v>
      </c>
      <c r="F62" s="7">
        <f t="shared" si="64"/>
        <v>992.88</v>
      </c>
      <c r="G62" s="7">
        <f t="shared" si="4"/>
        <v>1985.76</v>
      </c>
    </row>
    <row r="63">
      <c r="A63" s="8">
        <f t="shared" si="5"/>
        <v>62</v>
      </c>
      <c r="B63" s="44" t="s">
        <v>350</v>
      </c>
      <c r="C63" s="3">
        <v>30000.0</v>
      </c>
      <c r="D63" s="7">
        <f t="shared" si="2"/>
        <v>18000</v>
      </c>
      <c r="E63" s="7">
        <f t="shared" ref="E63:F63" si="65">if($D63&lt;15000,$D63*12/100,15000*12/100)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40" t="s">
        <v>351</v>
      </c>
      <c r="C64" s="3">
        <v>25000.0</v>
      </c>
      <c r="D64" s="7">
        <f t="shared" si="2"/>
        <v>15000</v>
      </c>
      <c r="E64" s="7">
        <f t="shared" ref="E64:F64" si="66">if($D64&lt;15000,$D64*12/100,15000*12/100)</f>
        <v>1800</v>
      </c>
      <c r="F64" s="7">
        <f t="shared" si="66"/>
        <v>1800</v>
      </c>
      <c r="G64" s="7">
        <f t="shared" si="4"/>
        <v>3600</v>
      </c>
    </row>
    <row r="65">
      <c r="A65" s="8">
        <f t="shared" si="5"/>
        <v>64</v>
      </c>
      <c r="B65" s="40" t="s">
        <v>352</v>
      </c>
      <c r="C65" s="3">
        <v>17000.0</v>
      </c>
      <c r="D65" s="7">
        <f t="shared" si="2"/>
        <v>10200</v>
      </c>
      <c r="E65" s="7">
        <f t="shared" ref="E65:F65" si="67">if($D65&lt;15000,$D65*12/100,15000*12/100)</f>
        <v>1224</v>
      </c>
      <c r="F65" s="7">
        <f t="shared" si="67"/>
        <v>1224</v>
      </c>
      <c r="G65" s="7">
        <f t="shared" si="4"/>
        <v>2448</v>
      </c>
    </row>
    <row r="66">
      <c r="A66" s="8">
        <f t="shared" si="5"/>
        <v>65</v>
      </c>
      <c r="B66" s="40" t="s">
        <v>353</v>
      </c>
      <c r="C66" s="3">
        <v>22000.0</v>
      </c>
      <c r="D66" s="7">
        <f t="shared" si="2"/>
        <v>13200</v>
      </c>
      <c r="E66" s="7">
        <f t="shared" ref="E66:F66" si="68">if($D66&lt;15000,$D66*12/100,15000*12/100)</f>
        <v>1584</v>
      </c>
      <c r="F66" s="7">
        <f t="shared" si="68"/>
        <v>1584</v>
      </c>
      <c r="G66" s="7">
        <f t="shared" si="4"/>
        <v>3168</v>
      </c>
    </row>
    <row r="67">
      <c r="A67" s="8">
        <f t="shared" si="5"/>
        <v>66</v>
      </c>
      <c r="B67" s="50" t="s">
        <v>354</v>
      </c>
      <c r="C67" s="3">
        <v>22000.0</v>
      </c>
      <c r="D67" s="7">
        <f t="shared" si="2"/>
        <v>13200</v>
      </c>
      <c r="E67" s="7">
        <f t="shared" ref="E67:F67" si="69">if($D67&lt;15000,$D67*12/100,15000*12/100)</f>
        <v>1584</v>
      </c>
      <c r="F67" s="7">
        <f t="shared" si="69"/>
        <v>1584</v>
      </c>
      <c r="G67" s="7">
        <f t="shared" si="4"/>
        <v>3168</v>
      </c>
    </row>
    <row r="68">
      <c r="A68" s="8">
        <f t="shared" si="5"/>
        <v>67</v>
      </c>
      <c r="B68" s="40" t="s">
        <v>355</v>
      </c>
      <c r="C68" s="3">
        <v>23000.0</v>
      </c>
      <c r="D68" s="7">
        <f t="shared" si="2"/>
        <v>13800</v>
      </c>
      <c r="E68" s="7">
        <f t="shared" ref="E68:F68" si="70">if($D68&lt;15000,$D68*12/100,15000*12/100)</f>
        <v>1656</v>
      </c>
      <c r="F68" s="7">
        <f t="shared" si="70"/>
        <v>1656</v>
      </c>
      <c r="G68" s="7">
        <f t="shared" si="4"/>
        <v>3312</v>
      </c>
    </row>
    <row r="69">
      <c r="A69" s="8">
        <f t="shared" si="5"/>
        <v>68</v>
      </c>
      <c r="B69" s="44" t="s">
        <v>356</v>
      </c>
      <c r="C69" s="3">
        <v>9000.0</v>
      </c>
      <c r="D69" s="7">
        <f t="shared" si="2"/>
        <v>5400</v>
      </c>
      <c r="E69" s="7">
        <f t="shared" ref="E69:F69" si="71">if($D69&lt;15000,$D69*12/100,15000*12/100)</f>
        <v>648</v>
      </c>
      <c r="F69" s="7">
        <f t="shared" si="71"/>
        <v>648</v>
      </c>
      <c r="G69" s="7">
        <f t="shared" si="4"/>
        <v>1296</v>
      </c>
    </row>
    <row r="70">
      <c r="A70" s="8">
        <f t="shared" si="5"/>
        <v>69</v>
      </c>
      <c r="B70" s="44" t="s">
        <v>357</v>
      </c>
      <c r="C70" s="3">
        <v>6667.0</v>
      </c>
      <c r="D70" s="7">
        <f t="shared" si="2"/>
        <v>4000.2</v>
      </c>
      <c r="E70" s="7">
        <f t="shared" ref="E70:F70" si="72">if($D70&lt;15000,$D70*12/100,15000*12/100)</f>
        <v>480.024</v>
      </c>
      <c r="F70" s="7">
        <f t="shared" si="72"/>
        <v>480.024</v>
      </c>
      <c r="G70" s="7">
        <f t="shared" si="4"/>
        <v>960.048</v>
      </c>
    </row>
    <row r="71">
      <c r="A71" s="8">
        <f t="shared" si="5"/>
        <v>70</v>
      </c>
      <c r="B71" s="44" t="s">
        <v>358</v>
      </c>
      <c r="C71" s="3">
        <v>6774.0</v>
      </c>
      <c r="D71" s="7">
        <f t="shared" si="2"/>
        <v>4064.4</v>
      </c>
      <c r="E71" s="7">
        <f t="shared" ref="E71:F71" si="73">if($D71&lt;15000,$D71*12/100,15000*12/100)</f>
        <v>487.728</v>
      </c>
      <c r="F71" s="7">
        <f t="shared" si="73"/>
        <v>487.728</v>
      </c>
      <c r="G71" s="7">
        <f t="shared" si="4"/>
        <v>975.456</v>
      </c>
    </row>
    <row r="72">
      <c r="A72" s="8">
        <f t="shared" si="5"/>
        <v>71</v>
      </c>
      <c r="B72" s="44" t="s">
        <v>359</v>
      </c>
      <c r="C72" s="3">
        <v>8000.0</v>
      </c>
      <c r="D72" s="7">
        <f t="shared" si="2"/>
        <v>4800</v>
      </c>
      <c r="E72" s="7">
        <f t="shared" ref="E72:F72" si="74">if($D72&lt;15000,$D72*12/100,15000*12/100)</f>
        <v>576</v>
      </c>
      <c r="F72" s="7">
        <f t="shared" si="74"/>
        <v>576</v>
      </c>
      <c r="G72" s="7">
        <f t="shared" si="4"/>
        <v>1152</v>
      </c>
    </row>
    <row r="73">
      <c r="A73" s="8">
        <f t="shared" si="5"/>
        <v>72</v>
      </c>
      <c r="B73" s="44" t="s">
        <v>360</v>
      </c>
      <c r="C73" s="3">
        <v>6750.0</v>
      </c>
      <c r="D73" s="7">
        <f t="shared" si="2"/>
        <v>4050</v>
      </c>
      <c r="E73" s="7">
        <f t="shared" ref="E73:F73" si="75">if($D73&lt;15000,$D73*12/100,15000*12/100)</f>
        <v>486</v>
      </c>
      <c r="F73" s="7">
        <f t="shared" si="75"/>
        <v>486</v>
      </c>
      <c r="G73" s="7">
        <f t="shared" si="4"/>
        <v>972</v>
      </c>
    </row>
    <row r="74">
      <c r="A74" s="8">
        <f t="shared" si="5"/>
        <v>73</v>
      </c>
      <c r="B74" s="40" t="s">
        <v>361</v>
      </c>
      <c r="C74" s="3">
        <v>20000.0</v>
      </c>
      <c r="D74" s="7">
        <f t="shared" si="2"/>
        <v>12000</v>
      </c>
      <c r="E74" s="7">
        <f t="shared" ref="E74:F74" si="76">if($D74&lt;15000,$D74*12/100,15000*12/100)</f>
        <v>1440</v>
      </c>
      <c r="F74" s="7">
        <f t="shared" si="76"/>
        <v>1440</v>
      </c>
      <c r="G74" s="7">
        <f t="shared" si="4"/>
        <v>2880</v>
      </c>
    </row>
    <row r="75">
      <c r="A75" s="8">
        <f t="shared" si="5"/>
        <v>74</v>
      </c>
      <c r="B75" s="44" t="s">
        <v>375</v>
      </c>
      <c r="C75" s="3">
        <v>29032.0</v>
      </c>
      <c r="D75" s="7">
        <f t="shared" si="2"/>
        <v>17419.2</v>
      </c>
      <c r="E75" s="7">
        <f t="shared" ref="E75:F75" si="77">if($D75&lt;15000,$D75*12/100,15000*12/100)</f>
        <v>1800</v>
      </c>
      <c r="F75" s="7">
        <f t="shared" si="77"/>
        <v>1800</v>
      </c>
      <c r="G75" s="7">
        <f t="shared" si="4"/>
        <v>3600</v>
      </c>
    </row>
    <row r="76">
      <c r="A76" s="8">
        <f t="shared" si="5"/>
        <v>75</v>
      </c>
      <c r="B76" s="44" t="s">
        <v>377</v>
      </c>
      <c r="C76" s="3">
        <v>15629.0</v>
      </c>
      <c r="D76" s="7">
        <f t="shared" si="2"/>
        <v>9377.4</v>
      </c>
      <c r="E76" s="7">
        <f t="shared" ref="E76:F76" si="78">if($D76&lt;15000,$D76*12/100,15000*12/100)</f>
        <v>1125.288</v>
      </c>
      <c r="F76" s="7">
        <f t="shared" si="78"/>
        <v>1125.288</v>
      </c>
      <c r="G76" s="7">
        <f t="shared" si="4"/>
        <v>2250.576</v>
      </c>
    </row>
    <row r="77">
      <c r="A77" s="8">
        <f t="shared" si="5"/>
        <v>76</v>
      </c>
      <c r="B77" s="40" t="s">
        <v>383</v>
      </c>
      <c r="C77" s="3">
        <v>22258.0</v>
      </c>
      <c r="D77" s="7">
        <f t="shared" si="2"/>
        <v>13354.8</v>
      </c>
      <c r="E77" s="7">
        <f t="shared" ref="E77:F77" si="79">if($D77&lt;15000,$D77*12/100,15000*12/100)</f>
        <v>1602.576</v>
      </c>
      <c r="F77" s="7">
        <f t="shared" si="79"/>
        <v>1602.576</v>
      </c>
      <c r="G77" s="7">
        <f t="shared" si="4"/>
        <v>3205.152</v>
      </c>
    </row>
    <row r="78">
      <c r="A78" s="8">
        <f t="shared" si="5"/>
        <v>77</v>
      </c>
      <c r="B78" s="55" t="s">
        <v>384</v>
      </c>
      <c r="C78" s="3">
        <v>26000.0</v>
      </c>
      <c r="D78" s="7">
        <f t="shared" si="2"/>
        <v>15600</v>
      </c>
      <c r="E78" s="7">
        <f t="shared" ref="E78:F78" si="80">if($D78&lt;15000,$D78*12/100,15000*12/100)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4" t="s">
        <v>367</v>
      </c>
      <c r="C79" s="3">
        <v>13393.0</v>
      </c>
      <c r="D79" s="7">
        <f t="shared" si="2"/>
        <v>8035.8</v>
      </c>
      <c r="E79" s="7">
        <f t="shared" ref="E79:F79" si="81">if($D79&lt;15000,$D79*12/100,15000*12/100)</f>
        <v>964.296</v>
      </c>
      <c r="F79" s="7">
        <f t="shared" si="81"/>
        <v>964.296</v>
      </c>
      <c r="G79" s="7">
        <f t="shared" si="4"/>
        <v>1928.592</v>
      </c>
    </row>
    <row r="80">
      <c r="A80" s="8">
        <f t="shared" si="5"/>
        <v>79</v>
      </c>
      <c r="B80" s="44" t="s">
        <v>368</v>
      </c>
      <c r="C80" s="3">
        <v>14032.0</v>
      </c>
      <c r="D80" s="7">
        <f t="shared" si="2"/>
        <v>8419.2</v>
      </c>
      <c r="E80" s="7">
        <f t="shared" ref="E80:F80" si="82">if($D80&lt;15000,$D80*12/100,15000*12/100)</f>
        <v>1010.304</v>
      </c>
      <c r="F80" s="7">
        <f t="shared" si="82"/>
        <v>1010.304</v>
      </c>
      <c r="G80" s="7">
        <f t="shared" si="4"/>
        <v>2020.608</v>
      </c>
    </row>
    <row r="81">
      <c r="A81" s="8">
        <f t="shared" si="5"/>
        <v>80</v>
      </c>
      <c r="B81" s="44" t="s">
        <v>369</v>
      </c>
      <c r="C81" s="3">
        <v>13548.0</v>
      </c>
      <c r="D81" s="7">
        <f t="shared" si="2"/>
        <v>8128.8</v>
      </c>
      <c r="E81" s="7">
        <f t="shared" ref="E81:F81" si="83">if($D81&lt;15000,$D81*12/100,15000*12/100)</f>
        <v>975.456</v>
      </c>
      <c r="F81" s="7">
        <f t="shared" si="83"/>
        <v>975.456</v>
      </c>
      <c r="G81" s="7">
        <f t="shared" si="4"/>
        <v>1950.912</v>
      </c>
    </row>
    <row r="82">
      <c r="A82" s="8">
        <f t="shared" si="5"/>
        <v>81</v>
      </c>
      <c r="B82" s="40" t="s">
        <v>370</v>
      </c>
      <c r="C82" s="3">
        <v>14516.0</v>
      </c>
      <c r="D82" s="7">
        <f t="shared" si="2"/>
        <v>8709.6</v>
      </c>
      <c r="E82" s="7">
        <f t="shared" ref="E82:F82" si="84">if($D82&lt;15000,$D82*12/100,15000*12/100)</f>
        <v>1045.152</v>
      </c>
      <c r="F82" s="7">
        <f t="shared" si="84"/>
        <v>1045.152</v>
      </c>
      <c r="G82" s="7">
        <f t="shared" si="4"/>
        <v>2090.304</v>
      </c>
    </row>
    <row r="83">
      <c r="A83" s="8">
        <f t="shared" si="5"/>
        <v>82</v>
      </c>
      <c r="B83" s="40" t="s">
        <v>371</v>
      </c>
      <c r="C83" s="3">
        <v>18000.0</v>
      </c>
      <c r="D83" s="7">
        <f t="shared" si="2"/>
        <v>10800</v>
      </c>
      <c r="E83" s="7">
        <f t="shared" ref="E83:F83" si="85">if($D83&lt;15000,$D83*12/100,15000*12/100)</f>
        <v>1296</v>
      </c>
      <c r="F83" s="7">
        <f t="shared" si="85"/>
        <v>1296</v>
      </c>
      <c r="G83" s="7">
        <f t="shared" si="4"/>
        <v>2592</v>
      </c>
    </row>
    <row r="84">
      <c r="A84" s="8">
        <f t="shared" si="5"/>
        <v>83</v>
      </c>
      <c r="B84" s="44" t="s">
        <v>372</v>
      </c>
      <c r="C84" s="3">
        <v>14516.0</v>
      </c>
      <c r="D84" s="7">
        <f t="shared" si="2"/>
        <v>8709.6</v>
      </c>
      <c r="E84" s="7">
        <f t="shared" ref="E84:F84" si="86">if($D84&lt;15000,$D84*12/100,15000*12/100)</f>
        <v>1045.152</v>
      </c>
      <c r="F84" s="7">
        <f t="shared" si="86"/>
        <v>1045.152</v>
      </c>
      <c r="G84" s="7">
        <f t="shared" si="4"/>
        <v>2090.304</v>
      </c>
    </row>
    <row r="85">
      <c r="A85" s="8">
        <f t="shared" si="5"/>
        <v>84</v>
      </c>
      <c r="B85" s="44" t="s">
        <v>373</v>
      </c>
      <c r="C85" s="3">
        <v>25000.0</v>
      </c>
      <c r="D85" s="7">
        <f t="shared" si="2"/>
        <v>15000</v>
      </c>
      <c r="E85" s="7">
        <f t="shared" ref="E85:F85" si="87">if($D85&lt;15000,$D85*12/100,15000*12/100)</f>
        <v>1800</v>
      </c>
      <c r="F85" s="7">
        <f t="shared" si="87"/>
        <v>1800</v>
      </c>
      <c r="G85" s="7">
        <f t="shared" si="4"/>
        <v>3600</v>
      </c>
    </row>
    <row r="86">
      <c r="A86" s="8">
        <f t="shared" si="5"/>
        <v>85</v>
      </c>
      <c r="B86" s="44" t="s">
        <v>374</v>
      </c>
      <c r="C86" s="3">
        <v>23387.0</v>
      </c>
      <c r="D86" s="7">
        <f t="shared" si="2"/>
        <v>14032.2</v>
      </c>
      <c r="E86" s="7">
        <f t="shared" ref="E86:F86" si="88">if($D86&lt;15000,$D86*12/100,15000*12/100)</f>
        <v>1683.864</v>
      </c>
      <c r="F86" s="7">
        <f t="shared" si="88"/>
        <v>1683.864</v>
      </c>
      <c r="G86" s="7">
        <f t="shared" si="4"/>
        <v>3367.728</v>
      </c>
    </row>
    <row r="87">
      <c r="A87" s="8">
        <f t="shared" si="5"/>
        <v>86</v>
      </c>
      <c r="B87" s="44" t="s">
        <v>378</v>
      </c>
      <c r="C87" s="3">
        <v>26129.0</v>
      </c>
      <c r="D87" s="7">
        <f t="shared" si="2"/>
        <v>15677.4</v>
      </c>
      <c r="E87" s="7">
        <f t="shared" ref="E87:F87" si="89">if($D87&lt;15000,$D87*12/100,15000*12/100)</f>
        <v>1800</v>
      </c>
      <c r="F87" s="7">
        <f t="shared" si="89"/>
        <v>1800</v>
      </c>
      <c r="G87" s="7">
        <f t="shared" si="4"/>
        <v>3600</v>
      </c>
    </row>
    <row r="88">
      <c r="A88" s="8">
        <f t="shared" si="5"/>
        <v>87</v>
      </c>
      <c r="B88" s="40" t="s">
        <v>385</v>
      </c>
      <c r="C88" s="3">
        <v>12000.0</v>
      </c>
      <c r="D88" s="7">
        <f t="shared" si="2"/>
        <v>7200</v>
      </c>
      <c r="E88" s="7">
        <f t="shared" ref="E88:F88" si="90">if($D88&lt;15000,$D88*12/100,15000*12/100)</f>
        <v>864</v>
      </c>
      <c r="F88" s="7">
        <f t="shared" si="90"/>
        <v>864</v>
      </c>
      <c r="G88" s="7">
        <f t="shared" si="4"/>
        <v>1728</v>
      </c>
    </row>
    <row r="89">
      <c r="A89" s="8">
        <f t="shared" si="5"/>
        <v>88</v>
      </c>
      <c r="B89" s="40" t="s">
        <v>386</v>
      </c>
      <c r="C89" s="3">
        <v>24194.0</v>
      </c>
      <c r="D89" s="7">
        <f t="shared" si="2"/>
        <v>14516.4</v>
      </c>
      <c r="E89" s="7">
        <f t="shared" ref="E89:F89" si="91">if($D89&lt;15000,$D89*12/100,15000*12/100)</f>
        <v>1741.968</v>
      </c>
      <c r="F89" s="7">
        <f t="shared" si="91"/>
        <v>1741.968</v>
      </c>
      <c r="G89" s="7">
        <f t="shared" si="4"/>
        <v>3483.936</v>
      </c>
    </row>
    <row r="90">
      <c r="A90" s="8">
        <f t="shared" si="5"/>
        <v>89</v>
      </c>
      <c r="B90" s="55" t="s">
        <v>123</v>
      </c>
      <c r="C90" s="3">
        <v>17419.0</v>
      </c>
      <c r="D90" s="7">
        <f t="shared" si="2"/>
        <v>10451.4</v>
      </c>
      <c r="E90" s="7">
        <f t="shared" ref="E90:F90" si="92">if($D90&lt;15000,$D90*12/100,15000*12/100)</f>
        <v>1254.168</v>
      </c>
      <c r="F90" s="7">
        <f t="shared" si="92"/>
        <v>1254.168</v>
      </c>
      <c r="G90" s="7">
        <f t="shared" si="4"/>
        <v>2508.336</v>
      </c>
    </row>
    <row r="91">
      <c r="A91" s="8">
        <f t="shared" si="5"/>
        <v>90</v>
      </c>
      <c r="B91" s="55" t="s">
        <v>387</v>
      </c>
      <c r="C91" s="3">
        <v>7742.0</v>
      </c>
      <c r="D91" s="7">
        <f t="shared" si="2"/>
        <v>4645.2</v>
      </c>
      <c r="E91" s="7">
        <f t="shared" ref="E91:F91" si="93">if($D91&lt;15000,$D91*12/100,15000*12/100)</f>
        <v>557.424</v>
      </c>
      <c r="F91" s="7">
        <f t="shared" si="93"/>
        <v>557.424</v>
      </c>
      <c r="G91" s="7">
        <f t="shared" si="4"/>
        <v>1114.848</v>
      </c>
    </row>
    <row r="92">
      <c r="A92" s="8">
        <f t="shared" si="5"/>
        <v>91</v>
      </c>
      <c r="B92" s="55" t="s">
        <v>388</v>
      </c>
      <c r="C92" s="3">
        <v>8065.0</v>
      </c>
      <c r="D92" s="7">
        <f t="shared" si="2"/>
        <v>4839</v>
      </c>
      <c r="E92" s="7">
        <f t="shared" ref="E92:F92" si="94">if($D92&lt;15000,$D92*12/100,15000*12/100)</f>
        <v>580.68</v>
      </c>
      <c r="F92" s="7">
        <f t="shared" si="94"/>
        <v>580.68</v>
      </c>
      <c r="G92" s="7">
        <f t="shared" si="4"/>
        <v>1161.36</v>
      </c>
    </row>
    <row r="93">
      <c r="A93" s="8">
        <f t="shared" si="5"/>
        <v>92</v>
      </c>
      <c r="B93" s="55" t="s">
        <v>389</v>
      </c>
      <c r="C93" s="3">
        <v>7742.0</v>
      </c>
      <c r="D93" s="7">
        <f t="shared" si="2"/>
        <v>4645.2</v>
      </c>
      <c r="E93" s="7">
        <f t="shared" ref="E93:F93" si="95">if($D93&lt;15000,$D93*12/100,15000*12/100)</f>
        <v>557.424</v>
      </c>
      <c r="F93" s="7">
        <f t="shared" si="95"/>
        <v>557.424</v>
      </c>
      <c r="G93" s="7">
        <f t="shared" si="4"/>
        <v>1114.848</v>
      </c>
    </row>
    <row r="94">
      <c r="A94" s="8">
        <f t="shared" si="5"/>
        <v>93</v>
      </c>
      <c r="B94" s="55" t="s">
        <v>257</v>
      </c>
      <c r="C94" s="3">
        <v>25161.0</v>
      </c>
      <c r="D94" s="7">
        <f t="shared" si="2"/>
        <v>15096.6</v>
      </c>
      <c r="E94" s="7">
        <f t="shared" ref="E94:F94" si="96">if($D94&lt;15000,$D94*12/100,15000*12/100)</f>
        <v>1800</v>
      </c>
      <c r="F94" s="7">
        <f t="shared" si="96"/>
        <v>1800</v>
      </c>
      <c r="G94" s="7">
        <f t="shared" si="4"/>
        <v>3600</v>
      </c>
    </row>
    <row r="95">
      <c r="A95" s="8">
        <f t="shared" si="5"/>
        <v>94</v>
      </c>
      <c r="B95" s="55" t="s">
        <v>390</v>
      </c>
      <c r="C95" s="3">
        <v>9036.0</v>
      </c>
      <c r="D95" s="7">
        <f t="shared" si="2"/>
        <v>5421.6</v>
      </c>
      <c r="E95" s="7">
        <f t="shared" ref="E95:F95" si="97">if($D95&lt;15000,$D95*12/100,15000*12/100)</f>
        <v>650.592</v>
      </c>
      <c r="F95" s="7">
        <f t="shared" si="97"/>
        <v>650.592</v>
      </c>
      <c r="G95" s="7">
        <f t="shared" si="4"/>
        <v>1301.184</v>
      </c>
    </row>
    <row r="96">
      <c r="A96" s="9" t="s">
        <v>34</v>
      </c>
      <c r="B96" s="10"/>
      <c r="C96" s="11">
        <f t="shared" ref="C96:G96" si="98">sum(C2:C95)</f>
        <v>2087418</v>
      </c>
      <c r="D96" s="11">
        <f t="shared" si="98"/>
        <v>1252450.8</v>
      </c>
      <c r="E96" s="11">
        <f t="shared" si="98"/>
        <v>125321.688</v>
      </c>
      <c r="F96" s="11">
        <f t="shared" si="98"/>
        <v>125321.688</v>
      </c>
      <c r="G96" s="11">
        <f t="shared" si="98"/>
        <v>250643.376</v>
      </c>
    </row>
  </sheetData>
  <mergeCells count="1">
    <mergeCell ref="A96:B96"/>
  </mergeCells>
  <hyperlinks>
    <hyperlink r:id="rId1" ref="A1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26" t="s">
        <v>391</v>
      </c>
      <c r="C2" s="56">
        <v>81000.0</v>
      </c>
      <c r="D2" s="7">
        <f t="shared" ref="D2:D89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9" si="4">E2+F2</f>
        <v>3600</v>
      </c>
    </row>
    <row r="3">
      <c r="A3" s="8">
        <f t="shared" ref="A3:A89" si="5">A2+1</f>
        <v>2</v>
      </c>
      <c r="B3" s="26" t="s">
        <v>287</v>
      </c>
      <c r="C3" s="56">
        <v>34000.0</v>
      </c>
      <c r="D3" s="7">
        <f t="shared" si="2"/>
        <v>20400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288</v>
      </c>
      <c r="C4" s="57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291</v>
      </c>
      <c r="C5" s="57">
        <v>24000.0</v>
      </c>
      <c r="D5" s="7">
        <f t="shared" si="2"/>
        <v>14400</v>
      </c>
      <c r="E5" s="7">
        <f t="shared" ref="E5:F5" si="7">if($D5&lt;15000,$D5*12/100,15000*12/100)</f>
        <v>1728</v>
      </c>
      <c r="F5" s="7">
        <f t="shared" si="7"/>
        <v>1728</v>
      </c>
      <c r="G5" s="7">
        <f t="shared" si="4"/>
        <v>3456</v>
      </c>
    </row>
    <row r="6">
      <c r="A6" s="8">
        <f t="shared" si="5"/>
        <v>5</v>
      </c>
      <c r="B6" s="37" t="s">
        <v>392</v>
      </c>
      <c r="C6" s="58">
        <v>24000.0</v>
      </c>
      <c r="D6" s="7">
        <f t="shared" si="2"/>
        <v>14400</v>
      </c>
      <c r="E6" s="7">
        <f t="shared" ref="E6:F6" si="8">if($D6&lt;15000,$D6*12/100,15000*12/100)</f>
        <v>1728</v>
      </c>
      <c r="F6" s="7">
        <f t="shared" si="8"/>
        <v>1728</v>
      </c>
      <c r="G6" s="7">
        <f t="shared" si="4"/>
        <v>3456</v>
      </c>
    </row>
    <row r="7">
      <c r="A7" s="8">
        <f t="shared" si="5"/>
        <v>6</v>
      </c>
      <c r="B7" s="26" t="s">
        <v>293</v>
      </c>
      <c r="C7" s="57">
        <v>17100.0</v>
      </c>
      <c r="D7" s="7">
        <f t="shared" si="2"/>
        <v>10260</v>
      </c>
      <c r="E7" s="7">
        <f t="shared" ref="E7:F7" si="9">if($D7&lt;15000,$D7*12/100,15000*12/100)</f>
        <v>1231.2</v>
      </c>
      <c r="F7" s="7">
        <f t="shared" si="9"/>
        <v>1231.2</v>
      </c>
      <c r="G7" s="7">
        <f t="shared" si="4"/>
        <v>2462.4</v>
      </c>
    </row>
    <row r="8">
      <c r="A8" s="8">
        <f t="shared" si="5"/>
        <v>7</v>
      </c>
      <c r="B8" s="26" t="s">
        <v>296</v>
      </c>
      <c r="C8" s="57">
        <v>46200.0</v>
      </c>
      <c r="D8" s="7">
        <f t="shared" si="2"/>
        <v>27720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26" t="s">
        <v>297</v>
      </c>
      <c r="C9" s="57">
        <v>72000.0</v>
      </c>
      <c r="D9" s="7">
        <f t="shared" si="2"/>
        <v>43200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26" t="s">
        <v>298</v>
      </c>
      <c r="C10" s="57">
        <v>25200.0</v>
      </c>
      <c r="D10" s="7">
        <f t="shared" si="2"/>
        <v>15120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299</v>
      </c>
      <c r="C11" s="58">
        <v>24000.0</v>
      </c>
      <c r="D11" s="7">
        <f t="shared" si="2"/>
        <v>14400</v>
      </c>
      <c r="E11" s="7">
        <f t="shared" ref="E11:F11" si="13">if($D11&lt;15000,$D11*12/100,15000*12/100)</f>
        <v>1728</v>
      </c>
      <c r="F11" s="7">
        <f t="shared" si="13"/>
        <v>1728</v>
      </c>
      <c r="G11" s="7">
        <f t="shared" si="4"/>
        <v>3456</v>
      </c>
    </row>
    <row r="12">
      <c r="A12" s="8">
        <f t="shared" si="5"/>
        <v>11</v>
      </c>
      <c r="B12" s="26" t="s">
        <v>300</v>
      </c>
      <c r="C12" s="58">
        <v>31000.0</v>
      </c>
      <c r="D12" s="7">
        <f t="shared" si="2"/>
        <v>18600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301</v>
      </c>
      <c r="C13" s="58">
        <v>30933.0</v>
      </c>
      <c r="D13" s="7">
        <f t="shared" si="2"/>
        <v>18559.8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302</v>
      </c>
      <c r="C14" s="57">
        <v>28000.0</v>
      </c>
      <c r="D14" s="7">
        <f t="shared" si="2"/>
        <v>16800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59" t="s">
        <v>303</v>
      </c>
      <c r="C15" s="57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26" t="s">
        <v>304</v>
      </c>
      <c r="C16" s="57">
        <v>27000.0</v>
      </c>
      <c r="D16" s="7">
        <f t="shared" si="2"/>
        <v>16200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306</v>
      </c>
      <c r="C17" s="58">
        <v>25200.0</v>
      </c>
      <c r="D17" s="7">
        <f t="shared" si="2"/>
        <v>15120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307</v>
      </c>
      <c r="C18" s="58">
        <v>37000.0</v>
      </c>
      <c r="D18" s="7">
        <f t="shared" si="2"/>
        <v>22200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26" t="s">
        <v>308</v>
      </c>
      <c r="C19" s="57">
        <v>32000.0</v>
      </c>
      <c r="D19" s="7">
        <f t="shared" si="2"/>
        <v>19200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309</v>
      </c>
      <c r="C20" s="57">
        <v>27000.0</v>
      </c>
      <c r="D20" s="7">
        <f t="shared" si="2"/>
        <v>16200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310</v>
      </c>
      <c r="C21" s="57">
        <v>22233.0</v>
      </c>
      <c r="D21" s="7">
        <f t="shared" si="2"/>
        <v>13339.8</v>
      </c>
      <c r="E21" s="7">
        <f t="shared" ref="E21:F21" si="23">if($D21&lt;15000,$D21*12/100,15000*12/100)</f>
        <v>1600.776</v>
      </c>
      <c r="F21" s="7">
        <f t="shared" si="23"/>
        <v>1600.776</v>
      </c>
      <c r="G21" s="7">
        <f t="shared" si="4"/>
        <v>3201.552</v>
      </c>
    </row>
    <row r="22">
      <c r="A22" s="8">
        <f t="shared" si="5"/>
        <v>21</v>
      </c>
      <c r="B22" s="26" t="s">
        <v>311</v>
      </c>
      <c r="C22" s="57">
        <v>25000.0</v>
      </c>
      <c r="D22" s="7">
        <f t="shared" si="2"/>
        <v>15000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26" t="s">
        <v>312</v>
      </c>
      <c r="C23" s="57">
        <v>9167.0</v>
      </c>
      <c r="D23" s="7">
        <f t="shared" si="2"/>
        <v>5500.2</v>
      </c>
      <c r="E23" s="7">
        <f t="shared" ref="E23:F23" si="25">if($D23&lt;15000,$D23*12/100,15000*12/100)</f>
        <v>660.024</v>
      </c>
      <c r="F23" s="7">
        <f t="shared" si="25"/>
        <v>660.024</v>
      </c>
      <c r="G23" s="7">
        <f t="shared" si="4"/>
        <v>1320.048</v>
      </c>
    </row>
    <row r="24">
      <c r="A24" s="8">
        <f t="shared" si="5"/>
        <v>23</v>
      </c>
      <c r="B24" s="26" t="s">
        <v>315</v>
      </c>
      <c r="C24" s="57">
        <v>15200.0</v>
      </c>
      <c r="D24" s="7">
        <f t="shared" si="2"/>
        <v>9120</v>
      </c>
      <c r="E24" s="7">
        <f t="shared" ref="E24:F24" si="26">if($D24&lt;15000,$D24*12/100,15000*12/100)</f>
        <v>1094.4</v>
      </c>
      <c r="F24" s="7">
        <f t="shared" si="26"/>
        <v>1094.4</v>
      </c>
      <c r="G24" s="7">
        <f t="shared" si="4"/>
        <v>2188.8</v>
      </c>
    </row>
    <row r="25">
      <c r="A25" s="8">
        <f t="shared" si="5"/>
        <v>24</v>
      </c>
      <c r="B25" s="26" t="s">
        <v>316</v>
      </c>
      <c r="C25" s="57">
        <v>16000.0</v>
      </c>
      <c r="D25" s="7">
        <f t="shared" si="2"/>
        <v>9600</v>
      </c>
      <c r="E25" s="7">
        <f t="shared" ref="E25:F25" si="27">if($D25&lt;15000,$D25*12/100,15000*12/100)</f>
        <v>1152</v>
      </c>
      <c r="F25" s="7">
        <f t="shared" si="27"/>
        <v>1152</v>
      </c>
      <c r="G25" s="7">
        <f t="shared" si="4"/>
        <v>2304</v>
      </c>
    </row>
    <row r="26">
      <c r="A26" s="8">
        <f t="shared" si="5"/>
        <v>25</v>
      </c>
      <c r="B26" s="26" t="s">
        <v>317</v>
      </c>
      <c r="C26" s="57">
        <v>14850.0</v>
      </c>
      <c r="D26" s="7">
        <f t="shared" si="2"/>
        <v>8910</v>
      </c>
      <c r="E26" s="7">
        <f t="shared" ref="E26:F26" si="28">if($D26&lt;15000,$D26*12/100,15000*12/100)</f>
        <v>1069.2</v>
      </c>
      <c r="F26" s="7">
        <f t="shared" si="28"/>
        <v>1069.2</v>
      </c>
      <c r="G26" s="7">
        <f t="shared" si="4"/>
        <v>2138.4</v>
      </c>
    </row>
    <row r="27">
      <c r="A27" s="8">
        <f t="shared" si="5"/>
        <v>26</v>
      </c>
      <c r="B27" s="26" t="s">
        <v>318</v>
      </c>
      <c r="C27" s="57">
        <v>19200.0</v>
      </c>
      <c r="D27" s="7">
        <f t="shared" si="2"/>
        <v>11520</v>
      </c>
      <c r="E27" s="7">
        <f t="shared" ref="E27:F27" si="29">if($D27&lt;15000,$D27*12/100,15000*12/100)</f>
        <v>1382.4</v>
      </c>
      <c r="F27" s="7">
        <f t="shared" si="29"/>
        <v>1382.4</v>
      </c>
      <c r="G27" s="7">
        <f t="shared" si="4"/>
        <v>2764.8</v>
      </c>
    </row>
    <row r="28">
      <c r="A28" s="8">
        <f t="shared" si="5"/>
        <v>27</v>
      </c>
      <c r="B28" s="26" t="s">
        <v>319</v>
      </c>
      <c r="C28" s="57">
        <v>16800.0</v>
      </c>
      <c r="D28" s="7">
        <f t="shared" si="2"/>
        <v>10080</v>
      </c>
      <c r="E28" s="7">
        <f t="shared" ref="E28:F28" si="30">if($D28&lt;15000,$D28*12/100,15000*12/100)</f>
        <v>1209.6</v>
      </c>
      <c r="F28" s="7">
        <f t="shared" si="30"/>
        <v>1209.6</v>
      </c>
      <c r="G28" s="7">
        <f t="shared" si="4"/>
        <v>2419.2</v>
      </c>
    </row>
    <row r="29">
      <c r="A29" s="8">
        <f t="shared" si="5"/>
        <v>28</v>
      </c>
      <c r="B29" s="26" t="s">
        <v>320</v>
      </c>
      <c r="C29" s="57">
        <v>21267.0</v>
      </c>
      <c r="D29" s="7">
        <f t="shared" si="2"/>
        <v>12760.2</v>
      </c>
      <c r="E29" s="7">
        <f t="shared" ref="E29:F29" si="31">if($D29&lt;15000,$D29*12/100,15000*12/100)</f>
        <v>1531.224</v>
      </c>
      <c r="F29" s="7">
        <f t="shared" si="31"/>
        <v>1531.224</v>
      </c>
      <c r="G29" s="7">
        <f t="shared" si="4"/>
        <v>3062.448</v>
      </c>
    </row>
    <row r="30">
      <c r="A30" s="8">
        <f t="shared" si="5"/>
        <v>29</v>
      </c>
      <c r="B30" s="26" t="s">
        <v>321</v>
      </c>
      <c r="C30" s="57">
        <v>6233.0</v>
      </c>
      <c r="D30" s="7">
        <f t="shared" si="2"/>
        <v>3739.8</v>
      </c>
      <c r="E30" s="7">
        <f t="shared" ref="E30:F30" si="32">if($D30&lt;15000,$D30*12/100,15000*12/100)</f>
        <v>448.776</v>
      </c>
      <c r="F30" s="7">
        <f t="shared" si="32"/>
        <v>448.776</v>
      </c>
      <c r="G30" s="7">
        <f t="shared" si="4"/>
        <v>897.552</v>
      </c>
    </row>
    <row r="31">
      <c r="A31" s="8">
        <f t="shared" si="5"/>
        <v>30</v>
      </c>
      <c r="B31" s="26" t="s">
        <v>323</v>
      </c>
      <c r="C31" s="57">
        <v>15000.0</v>
      </c>
      <c r="D31" s="7">
        <f t="shared" si="2"/>
        <v>9000</v>
      </c>
      <c r="E31" s="7">
        <f t="shared" ref="E31:F31" si="33">if($D31&lt;15000,$D31*12/100,15000*12/100)</f>
        <v>1080</v>
      </c>
      <c r="F31" s="7">
        <f t="shared" si="33"/>
        <v>1080</v>
      </c>
      <c r="G31" s="7">
        <f t="shared" si="4"/>
        <v>2160</v>
      </c>
    </row>
    <row r="32">
      <c r="A32" s="8">
        <f t="shared" si="5"/>
        <v>31</v>
      </c>
      <c r="B32" s="26" t="s">
        <v>324</v>
      </c>
      <c r="C32" s="57">
        <v>15000.0</v>
      </c>
      <c r="D32" s="7">
        <f t="shared" si="2"/>
        <v>9000</v>
      </c>
      <c r="E32" s="7">
        <f t="shared" ref="E32:F32" si="34">if($D32&lt;15000,$D32*12/100,15000*12/100)</f>
        <v>1080</v>
      </c>
      <c r="F32" s="7">
        <f t="shared" si="34"/>
        <v>1080</v>
      </c>
      <c r="G32" s="7">
        <f t="shared" si="4"/>
        <v>2160</v>
      </c>
    </row>
    <row r="33">
      <c r="A33" s="8">
        <f t="shared" si="5"/>
        <v>32</v>
      </c>
      <c r="B33" s="26" t="s">
        <v>325</v>
      </c>
      <c r="C33" s="57">
        <v>18200.0</v>
      </c>
      <c r="D33" s="7">
        <f t="shared" si="2"/>
        <v>10920</v>
      </c>
      <c r="E33" s="7">
        <f t="shared" ref="E33:F33" si="35">if($D33&lt;15000,$D33*12/100,15000*12/100)</f>
        <v>1310.4</v>
      </c>
      <c r="F33" s="7">
        <f t="shared" si="35"/>
        <v>1310.4</v>
      </c>
      <c r="G33" s="7">
        <f t="shared" si="4"/>
        <v>2620.8</v>
      </c>
    </row>
    <row r="34">
      <c r="A34" s="8">
        <f t="shared" si="5"/>
        <v>33</v>
      </c>
      <c r="B34" s="26" t="s">
        <v>326</v>
      </c>
      <c r="C34" s="57">
        <v>15000.0</v>
      </c>
      <c r="D34" s="7">
        <f t="shared" si="2"/>
        <v>9000</v>
      </c>
      <c r="E34" s="7">
        <f t="shared" ref="E34:F34" si="36">if($D34&lt;15000,$D34*12/100,15000*12/100)</f>
        <v>1080</v>
      </c>
      <c r="F34" s="7">
        <f t="shared" si="36"/>
        <v>1080</v>
      </c>
      <c r="G34" s="7">
        <f t="shared" si="4"/>
        <v>2160</v>
      </c>
    </row>
    <row r="35">
      <c r="A35" s="8">
        <f t="shared" si="5"/>
        <v>34</v>
      </c>
      <c r="B35" s="26" t="s">
        <v>327</v>
      </c>
      <c r="C35" s="57">
        <v>20300.0</v>
      </c>
      <c r="D35" s="7">
        <f t="shared" si="2"/>
        <v>12180</v>
      </c>
      <c r="E35" s="7">
        <f t="shared" ref="E35:F35" si="37">if($D35&lt;15000,$D35*12/100,15000*12/100)</f>
        <v>1461.6</v>
      </c>
      <c r="F35" s="7">
        <f t="shared" si="37"/>
        <v>1461.6</v>
      </c>
      <c r="G35" s="7">
        <f t="shared" si="4"/>
        <v>2923.2</v>
      </c>
    </row>
    <row r="36">
      <c r="A36" s="8">
        <f t="shared" si="5"/>
        <v>35</v>
      </c>
      <c r="B36" s="26" t="s">
        <v>328</v>
      </c>
      <c r="C36" s="57">
        <v>27000.0</v>
      </c>
      <c r="D36" s="7">
        <f t="shared" si="2"/>
        <v>16200</v>
      </c>
      <c r="E36" s="7">
        <f t="shared" ref="E36:F36" si="38">if($D36&lt;15000,$D36*12/100,15000*12/100)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26" t="s">
        <v>331</v>
      </c>
      <c r="C37" s="57">
        <v>16000.0</v>
      </c>
      <c r="D37" s="7">
        <f t="shared" si="2"/>
        <v>9600</v>
      </c>
      <c r="E37" s="7">
        <f t="shared" ref="E37:F37" si="39">if($D37&lt;15000,$D37*12/100,15000*12/100)</f>
        <v>1152</v>
      </c>
      <c r="F37" s="7">
        <f t="shared" si="39"/>
        <v>1152</v>
      </c>
      <c r="G37" s="7">
        <f t="shared" si="4"/>
        <v>2304</v>
      </c>
    </row>
    <row r="38">
      <c r="A38" s="8">
        <f t="shared" si="5"/>
        <v>37</v>
      </c>
      <c r="B38" s="30" t="s">
        <v>333</v>
      </c>
      <c r="C38" s="57">
        <v>15017.0</v>
      </c>
      <c r="D38" s="7">
        <f t="shared" si="2"/>
        <v>9010.2</v>
      </c>
      <c r="E38" s="7">
        <f t="shared" ref="E38:F38" si="40">if($D38&lt;15000,$D38*12/100,15000*12/100)</f>
        <v>1081.224</v>
      </c>
      <c r="F38" s="7">
        <f t="shared" si="40"/>
        <v>1081.224</v>
      </c>
      <c r="G38" s="7">
        <f t="shared" si="4"/>
        <v>2162.448</v>
      </c>
    </row>
    <row r="39">
      <c r="A39" s="8">
        <f t="shared" si="5"/>
        <v>38</v>
      </c>
      <c r="B39" s="30" t="s">
        <v>334</v>
      </c>
      <c r="C39" s="57">
        <v>16667.0</v>
      </c>
      <c r="D39" s="7">
        <f t="shared" si="2"/>
        <v>10000.2</v>
      </c>
      <c r="E39" s="7">
        <f t="shared" ref="E39:F39" si="41">if($D39&lt;15000,$D39*12/100,15000*12/100)</f>
        <v>1200.024</v>
      </c>
      <c r="F39" s="7">
        <f t="shared" si="41"/>
        <v>1200.024</v>
      </c>
      <c r="G39" s="7">
        <f t="shared" si="4"/>
        <v>2400.048</v>
      </c>
    </row>
    <row r="40">
      <c r="A40" s="8">
        <f t="shared" si="5"/>
        <v>39</v>
      </c>
      <c r="B40" s="30" t="s">
        <v>335</v>
      </c>
      <c r="C40" s="57">
        <v>16000.0</v>
      </c>
      <c r="D40" s="7">
        <f t="shared" si="2"/>
        <v>9600</v>
      </c>
      <c r="E40" s="7">
        <f t="shared" ref="E40:F40" si="42">if($D40&lt;15000,$D40*12/100,15000*12/100)</f>
        <v>1152</v>
      </c>
      <c r="F40" s="7">
        <f t="shared" si="42"/>
        <v>1152</v>
      </c>
      <c r="G40" s="7">
        <f t="shared" si="4"/>
        <v>2304</v>
      </c>
    </row>
    <row r="41">
      <c r="A41" s="8">
        <f t="shared" si="5"/>
        <v>40</v>
      </c>
      <c r="B41" s="30" t="s">
        <v>336</v>
      </c>
      <c r="C41" s="57">
        <v>5667.0</v>
      </c>
      <c r="D41" s="7">
        <f t="shared" si="2"/>
        <v>3400.2</v>
      </c>
      <c r="E41" s="7">
        <f t="shared" ref="E41:F41" si="43">if($D41&lt;15000,$D41*12/100,15000*12/100)</f>
        <v>408.024</v>
      </c>
      <c r="F41" s="7">
        <f t="shared" si="43"/>
        <v>408.024</v>
      </c>
      <c r="G41" s="7">
        <f t="shared" si="4"/>
        <v>816.048</v>
      </c>
    </row>
    <row r="42">
      <c r="A42" s="8">
        <f t="shared" si="5"/>
        <v>41</v>
      </c>
      <c r="B42" s="30" t="s">
        <v>337</v>
      </c>
      <c r="C42" s="57">
        <v>5500.0</v>
      </c>
      <c r="D42" s="7">
        <f t="shared" si="2"/>
        <v>3300</v>
      </c>
      <c r="E42" s="7">
        <f t="shared" ref="E42:F42" si="44">if($D42&lt;15000,$D42*12/100,15000*12/100)</f>
        <v>396</v>
      </c>
      <c r="F42" s="7">
        <f t="shared" si="44"/>
        <v>396</v>
      </c>
      <c r="G42" s="7">
        <f t="shared" si="4"/>
        <v>792</v>
      </c>
    </row>
    <row r="43">
      <c r="A43" s="8">
        <f t="shared" si="5"/>
        <v>42</v>
      </c>
      <c r="B43" s="30" t="s">
        <v>340</v>
      </c>
      <c r="C43" s="57">
        <v>15833.0</v>
      </c>
      <c r="D43" s="7">
        <f t="shared" si="2"/>
        <v>9499.8</v>
      </c>
      <c r="E43" s="7">
        <f t="shared" ref="E43:F43" si="45">if($D43&lt;15000,$D43*12/100,15000*12/100)</f>
        <v>1139.976</v>
      </c>
      <c r="F43" s="7">
        <f t="shared" si="45"/>
        <v>1139.976</v>
      </c>
      <c r="G43" s="7">
        <f t="shared" si="4"/>
        <v>2279.952</v>
      </c>
    </row>
    <row r="44">
      <c r="A44" s="8">
        <f t="shared" si="5"/>
        <v>43</v>
      </c>
      <c r="B44" s="30" t="s">
        <v>341</v>
      </c>
      <c r="C44" s="57">
        <v>22000.0</v>
      </c>
      <c r="D44" s="7">
        <f t="shared" si="2"/>
        <v>13200</v>
      </c>
      <c r="E44" s="7">
        <f t="shared" ref="E44:F44" si="46">if($D44&lt;15000,$D44*12/100,15000*12/100)</f>
        <v>1584</v>
      </c>
      <c r="F44" s="7">
        <f t="shared" si="46"/>
        <v>1584</v>
      </c>
      <c r="G44" s="7">
        <f t="shared" si="4"/>
        <v>3168</v>
      </c>
    </row>
    <row r="45">
      <c r="A45" s="8">
        <f t="shared" si="5"/>
        <v>44</v>
      </c>
      <c r="B45" s="30" t="s">
        <v>345</v>
      </c>
      <c r="C45" s="57">
        <v>5333.0</v>
      </c>
      <c r="D45" s="7">
        <f t="shared" si="2"/>
        <v>3199.8</v>
      </c>
      <c r="E45" s="7">
        <f t="shared" ref="E45:F45" si="47">if($D45&lt;15000,$D45*12/100,15000*12/100)</f>
        <v>383.976</v>
      </c>
      <c r="F45" s="7">
        <f t="shared" si="47"/>
        <v>383.976</v>
      </c>
      <c r="G45" s="7">
        <f t="shared" si="4"/>
        <v>767.952</v>
      </c>
    </row>
    <row r="46">
      <c r="A46" s="8">
        <f t="shared" si="5"/>
        <v>45</v>
      </c>
      <c r="B46" s="24" t="s">
        <v>347</v>
      </c>
      <c r="C46" s="57">
        <v>11200.0</v>
      </c>
      <c r="D46" s="7">
        <f t="shared" si="2"/>
        <v>6720</v>
      </c>
      <c r="E46" s="7">
        <f t="shared" ref="E46:F46" si="48">if($D46&lt;15000,$D46*12/100,15000*12/100)</f>
        <v>806.4</v>
      </c>
      <c r="F46" s="7">
        <f t="shared" si="48"/>
        <v>806.4</v>
      </c>
      <c r="G46" s="7">
        <f t="shared" si="4"/>
        <v>1612.8</v>
      </c>
    </row>
    <row r="47">
      <c r="A47" s="8">
        <f t="shared" si="5"/>
        <v>46</v>
      </c>
      <c r="B47" s="24" t="s">
        <v>348</v>
      </c>
      <c r="C47" s="57">
        <v>14933.0</v>
      </c>
      <c r="D47" s="7">
        <f t="shared" si="2"/>
        <v>8959.8</v>
      </c>
      <c r="E47" s="7">
        <f t="shared" ref="E47:F47" si="49">if($D47&lt;15000,$D47*12/100,15000*12/100)</f>
        <v>1075.176</v>
      </c>
      <c r="F47" s="7">
        <f t="shared" si="49"/>
        <v>1075.176</v>
      </c>
      <c r="G47" s="7">
        <f t="shared" si="4"/>
        <v>2150.352</v>
      </c>
    </row>
    <row r="48">
      <c r="A48" s="8">
        <f t="shared" si="5"/>
        <v>47</v>
      </c>
      <c r="B48" s="47" t="s">
        <v>350</v>
      </c>
      <c r="C48" s="57">
        <v>28000.0</v>
      </c>
      <c r="D48" s="7">
        <f t="shared" si="2"/>
        <v>16800</v>
      </c>
      <c r="E48" s="7">
        <f t="shared" ref="E48:F48" si="50">if($D48&lt;15000,$D48*12/100,15000*12/100)</f>
        <v>1800</v>
      </c>
      <c r="F48" s="7">
        <f t="shared" si="50"/>
        <v>1800</v>
      </c>
      <c r="G48" s="7">
        <f t="shared" si="4"/>
        <v>3600</v>
      </c>
    </row>
    <row r="49">
      <c r="A49" s="8">
        <f t="shared" si="5"/>
        <v>48</v>
      </c>
      <c r="B49" s="30" t="s">
        <v>351</v>
      </c>
      <c r="C49" s="57">
        <v>25000.0</v>
      </c>
      <c r="D49" s="7">
        <f t="shared" si="2"/>
        <v>15000</v>
      </c>
      <c r="E49" s="7">
        <f t="shared" ref="E49:F49" si="51">if($D49&lt;15000,$D49*12/100,15000*12/100)</f>
        <v>1800</v>
      </c>
      <c r="F49" s="7">
        <f t="shared" si="51"/>
        <v>1800</v>
      </c>
      <c r="G49" s="7">
        <f t="shared" si="4"/>
        <v>3600</v>
      </c>
    </row>
    <row r="50">
      <c r="A50" s="8">
        <f t="shared" si="5"/>
        <v>49</v>
      </c>
      <c r="B50" s="30" t="s">
        <v>352</v>
      </c>
      <c r="C50" s="57">
        <v>17000.0</v>
      </c>
      <c r="D50" s="7">
        <f t="shared" si="2"/>
        <v>10200</v>
      </c>
      <c r="E50" s="7">
        <f t="shared" ref="E50:F50" si="52">if($D50&lt;15000,$D50*12/100,15000*12/100)</f>
        <v>1224</v>
      </c>
      <c r="F50" s="7">
        <f t="shared" si="52"/>
        <v>1224</v>
      </c>
      <c r="G50" s="7">
        <f t="shared" si="4"/>
        <v>2448</v>
      </c>
    </row>
    <row r="51">
      <c r="A51" s="8">
        <f t="shared" si="5"/>
        <v>50</v>
      </c>
      <c r="B51" s="30" t="s">
        <v>353</v>
      </c>
      <c r="C51" s="57">
        <v>22000.0</v>
      </c>
      <c r="D51" s="7">
        <f t="shared" si="2"/>
        <v>13200</v>
      </c>
      <c r="E51" s="7">
        <f t="shared" ref="E51:F51" si="53">if($D51&lt;15000,$D51*12/100,15000*12/100)</f>
        <v>1584</v>
      </c>
      <c r="F51" s="7">
        <f t="shared" si="53"/>
        <v>1584</v>
      </c>
      <c r="G51" s="7">
        <f t="shared" si="4"/>
        <v>3168</v>
      </c>
    </row>
    <row r="52">
      <c r="A52" s="8">
        <f t="shared" si="5"/>
        <v>51</v>
      </c>
      <c r="B52" s="48" t="s">
        <v>354</v>
      </c>
      <c r="C52" s="60">
        <v>22000.0</v>
      </c>
      <c r="D52" s="7">
        <f t="shared" si="2"/>
        <v>13200</v>
      </c>
      <c r="E52" s="7">
        <f t="shared" ref="E52:F52" si="54">if($D52&lt;15000,$D52*12/100,15000*12/100)</f>
        <v>1584</v>
      </c>
      <c r="F52" s="7">
        <f t="shared" si="54"/>
        <v>1584</v>
      </c>
      <c r="G52" s="7">
        <f t="shared" si="4"/>
        <v>3168</v>
      </c>
    </row>
    <row r="53">
      <c r="A53" s="8">
        <f t="shared" si="5"/>
        <v>52</v>
      </c>
      <c r="B53" s="30" t="s">
        <v>355</v>
      </c>
      <c r="C53" s="57">
        <v>23000.0</v>
      </c>
      <c r="D53" s="7">
        <f t="shared" si="2"/>
        <v>13800</v>
      </c>
      <c r="E53" s="7">
        <f t="shared" ref="E53:F53" si="55">if($D53&lt;15000,$D53*12/100,15000*12/100)</f>
        <v>1656</v>
      </c>
      <c r="F53" s="7">
        <f t="shared" si="55"/>
        <v>1656</v>
      </c>
      <c r="G53" s="7">
        <f t="shared" si="4"/>
        <v>3312</v>
      </c>
    </row>
    <row r="54">
      <c r="A54" s="8">
        <f t="shared" si="5"/>
        <v>53</v>
      </c>
      <c r="B54" s="47" t="s">
        <v>356</v>
      </c>
      <c r="C54" s="57">
        <v>9000.0</v>
      </c>
      <c r="D54" s="7">
        <f t="shared" si="2"/>
        <v>5400</v>
      </c>
      <c r="E54" s="7">
        <f t="shared" ref="E54:F54" si="56">if($D54&lt;15000,$D54*12/100,15000*12/100)</f>
        <v>648</v>
      </c>
      <c r="F54" s="7">
        <f t="shared" si="56"/>
        <v>648</v>
      </c>
      <c r="G54" s="7">
        <f t="shared" si="4"/>
        <v>1296</v>
      </c>
    </row>
    <row r="55">
      <c r="A55" s="8">
        <f t="shared" si="5"/>
        <v>54</v>
      </c>
      <c r="B55" s="47" t="s">
        <v>357</v>
      </c>
      <c r="C55" s="57">
        <v>13333.0</v>
      </c>
      <c r="D55" s="7">
        <f t="shared" si="2"/>
        <v>7999.8</v>
      </c>
      <c r="E55" s="7">
        <f t="shared" ref="E55:F55" si="57">if($D55&lt;15000,$D55*12/100,15000*12/100)</f>
        <v>959.976</v>
      </c>
      <c r="F55" s="7">
        <f t="shared" si="57"/>
        <v>959.976</v>
      </c>
      <c r="G55" s="7">
        <f t="shared" si="4"/>
        <v>1919.952</v>
      </c>
    </row>
    <row r="56">
      <c r="A56" s="8">
        <f t="shared" si="5"/>
        <v>55</v>
      </c>
      <c r="B56" s="47" t="s">
        <v>358</v>
      </c>
      <c r="C56" s="57">
        <v>7000.0</v>
      </c>
      <c r="D56" s="7">
        <f t="shared" si="2"/>
        <v>4200</v>
      </c>
      <c r="E56" s="7">
        <f t="shared" ref="E56:F56" si="58">if($D56&lt;15000,$D56*12/100,15000*12/100)</f>
        <v>504</v>
      </c>
      <c r="F56" s="7">
        <f t="shared" si="58"/>
        <v>504</v>
      </c>
      <c r="G56" s="7">
        <f t="shared" si="4"/>
        <v>1008</v>
      </c>
    </row>
    <row r="57">
      <c r="A57" s="8">
        <f t="shared" si="5"/>
        <v>56</v>
      </c>
      <c r="B57" s="47" t="s">
        <v>359</v>
      </c>
      <c r="C57" s="57">
        <v>8000.0</v>
      </c>
      <c r="D57" s="7">
        <f t="shared" si="2"/>
        <v>4800</v>
      </c>
      <c r="E57" s="7">
        <f t="shared" ref="E57:F57" si="59">if($D57&lt;15000,$D57*12/100,15000*12/100)</f>
        <v>576</v>
      </c>
      <c r="F57" s="7">
        <f t="shared" si="59"/>
        <v>576</v>
      </c>
      <c r="G57" s="7">
        <f t="shared" si="4"/>
        <v>1152</v>
      </c>
    </row>
    <row r="58">
      <c r="A58" s="8">
        <f t="shared" si="5"/>
        <v>57</v>
      </c>
      <c r="B58" s="47" t="s">
        <v>360</v>
      </c>
      <c r="C58" s="57">
        <v>11032.0</v>
      </c>
      <c r="D58" s="7">
        <f t="shared" si="2"/>
        <v>6619.2</v>
      </c>
      <c r="E58" s="7">
        <f t="shared" ref="E58:F58" si="60">if($D58&lt;15000,$D58*12/100,15000*12/100)</f>
        <v>794.304</v>
      </c>
      <c r="F58" s="7">
        <f t="shared" si="60"/>
        <v>794.304</v>
      </c>
      <c r="G58" s="7">
        <f t="shared" si="4"/>
        <v>1588.608</v>
      </c>
    </row>
    <row r="59">
      <c r="A59" s="8">
        <f t="shared" si="5"/>
        <v>58</v>
      </c>
      <c r="B59" s="30" t="s">
        <v>361</v>
      </c>
      <c r="C59" s="57">
        <v>20000.0</v>
      </c>
      <c r="D59" s="7">
        <f t="shared" si="2"/>
        <v>12000</v>
      </c>
      <c r="E59" s="7">
        <f t="shared" ref="E59:F59" si="61">if($D59&lt;15000,$D59*12/100,15000*12/100)</f>
        <v>1440</v>
      </c>
      <c r="F59" s="7">
        <f t="shared" si="61"/>
        <v>1440</v>
      </c>
      <c r="G59" s="7">
        <f t="shared" si="4"/>
        <v>2880</v>
      </c>
    </row>
    <row r="60">
      <c r="A60" s="8">
        <f t="shared" si="5"/>
        <v>59</v>
      </c>
      <c r="B60" s="47" t="s">
        <v>375</v>
      </c>
      <c r="C60" s="57">
        <v>30000.0</v>
      </c>
      <c r="D60" s="7">
        <f t="shared" si="2"/>
        <v>18000</v>
      </c>
      <c r="E60" s="7">
        <f t="shared" ref="E60:F60" si="62">if($D60&lt;15000,$D60*12/100,15000*12/100)</f>
        <v>1800</v>
      </c>
      <c r="F60" s="7">
        <f t="shared" si="62"/>
        <v>1800</v>
      </c>
      <c r="G60" s="7">
        <f t="shared" si="4"/>
        <v>3600</v>
      </c>
    </row>
    <row r="61">
      <c r="A61" s="8">
        <f t="shared" si="5"/>
        <v>60</v>
      </c>
      <c r="B61" s="47" t="s">
        <v>393</v>
      </c>
      <c r="C61" s="57">
        <v>18367.0</v>
      </c>
      <c r="D61" s="7">
        <f t="shared" si="2"/>
        <v>11020.2</v>
      </c>
      <c r="E61" s="7">
        <f t="shared" ref="E61:F61" si="63">if($D61&lt;15000,$D61*12/100,15000*12/100)</f>
        <v>1322.424</v>
      </c>
      <c r="F61" s="7">
        <f t="shared" si="63"/>
        <v>1322.424</v>
      </c>
      <c r="G61" s="7">
        <f t="shared" si="4"/>
        <v>2644.848</v>
      </c>
    </row>
    <row r="62">
      <c r="A62" s="8">
        <f t="shared" si="5"/>
        <v>61</v>
      </c>
      <c r="B62" s="61" t="s">
        <v>394</v>
      </c>
      <c r="C62" s="57">
        <v>77000.0</v>
      </c>
      <c r="D62" s="7">
        <f t="shared" si="2"/>
        <v>46200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61" t="s">
        <v>395</v>
      </c>
      <c r="C63" s="57">
        <v>72500.0</v>
      </c>
      <c r="D63" s="7">
        <f t="shared" si="2"/>
        <v>43500</v>
      </c>
      <c r="E63" s="7">
        <f t="shared" ref="E63:F63" si="65">if($D63&lt;15000,$D63*12/100,15000*12/100)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61" t="s">
        <v>396</v>
      </c>
      <c r="C64" s="57">
        <v>16667.0</v>
      </c>
      <c r="D64" s="7">
        <f t="shared" si="2"/>
        <v>10000.2</v>
      </c>
      <c r="E64" s="7">
        <f t="shared" ref="E64:F64" si="66">if($D64&lt;15000,$D64*12/100,15000*12/100)</f>
        <v>1200.024</v>
      </c>
      <c r="F64" s="7">
        <f t="shared" si="66"/>
        <v>1200.024</v>
      </c>
      <c r="G64" s="7">
        <f t="shared" si="4"/>
        <v>2400.048</v>
      </c>
    </row>
    <row r="65">
      <c r="A65" s="8">
        <f t="shared" si="5"/>
        <v>64</v>
      </c>
      <c r="B65" s="61" t="s">
        <v>397</v>
      </c>
      <c r="C65" s="57">
        <v>19067.0</v>
      </c>
      <c r="D65" s="7">
        <f t="shared" si="2"/>
        <v>11440.2</v>
      </c>
      <c r="E65" s="7">
        <f t="shared" ref="E65:F65" si="67">if($D65&lt;15000,$D65*12/100,15000*12/100)</f>
        <v>1372.824</v>
      </c>
      <c r="F65" s="7">
        <f t="shared" si="67"/>
        <v>1372.824</v>
      </c>
      <c r="G65" s="7">
        <f t="shared" si="4"/>
        <v>2745.648</v>
      </c>
    </row>
    <row r="66">
      <c r="A66" s="8">
        <f t="shared" si="5"/>
        <v>65</v>
      </c>
      <c r="B66" s="61" t="s">
        <v>398</v>
      </c>
      <c r="C66" s="57">
        <v>14500.0</v>
      </c>
      <c r="D66" s="7">
        <f t="shared" si="2"/>
        <v>8700</v>
      </c>
      <c r="E66" s="7">
        <f t="shared" ref="E66:F66" si="68">if($D66&lt;15000,$D66*12/100,15000*12/100)</f>
        <v>1044</v>
      </c>
      <c r="F66" s="7">
        <f t="shared" si="68"/>
        <v>1044</v>
      </c>
      <c r="G66" s="7">
        <f t="shared" si="4"/>
        <v>2088</v>
      </c>
    </row>
    <row r="67">
      <c r="A67" s="8">
        <f t="shared" si="5"/>
        <v>66</v>
      </c>
      <c r="B67" s="61" t="s">
        <v>399</v>
      </c>
      <c r="C67" s="57">
        <v>12567.0</v>
      </c>
      <c r="D67" s="7">
        <f t="shared" si="2"/>
        <v>7540.2</v>
      </c>
      <c r="E67" s="7">
        <f t="shared" ref="E67:F67" si="69">if($D67&lt;15000,$D67*12/100,15000*12/100)</f>
        <v>904.824</v>
      </c>
      <c r="F67" s="7">
        <f t="shared" si="69"/>
        <v>904.824</v>
      </c>
      <c r="G67" s="7">
        <f t="shared" si="4"/>
        <v>1809.648</v>
      </c>
    </row>
    <row r="68">
      <c r="A68" s="8">
        <f t="shared" si="5"/>
        <v>67</v>
      </c>
      <c r="B68" s="61" t="s">
        <v>400</v>
      </c>
      <c r="C68" s="57">
        <v>7500.0</v>
      </c>
      <c r="D68" s="7">
        <f t="shared" si="2"/>
        <v>4500</v>
      </c>
      <c r="E68" s="7">
        <f t="shared" ref="E68:F68" si="70">if($D68&lt;15000,$D68*12/100,15000*12/100)</f>
        <v>540</v>
      </c>
      <c r="F68" s="7">
        <f t="shared" si="70"/>
        <v>540</v>
      </c>
      <c r="G68" s="7">
        <f t="shared" si="4"/>
        <v>1080</v>
      </c>
    </row>
    <row r="69">
      <c r="A69" s="8">
        <f t="shared" si="5"/>
        <v>68</v>
      </c>
      <c r="B69" s="62" t="s">
        <v>401</v>
      </c>
      <c r="C69" s="57">
        <v>3000.0</v>
      </c>
      <c r="D69" s="7">
        <f t="shared" si="2"/>
        <v>1800</v>
      </c>
      <c r="E69" s="7">
        <f t="shared" ref="E69:F69" si="71">if($D69&lt;15000,$D69*12/100,15000*12/100)</f>
        <v>216</v>
      </c>
      <c r="F69" s="7">
        <f t="shared" si="71"/>
        <v>216</v>
      </c>
      <c r="G69" s="7">
        <f t="shared" si="4"/>
        <v>432</v>
      </c>
    </row>
    <row r="70">
      <c r="A70" s="8">
        <f t="shared" si="5"/>
        <v>69</v>
      </c>
      <c r="B70" s="61" t="s">
        <v>402</v>
      </c>
      <c r="C70" s="57">
        <v>12267.0</v>
      </c>
      <c r="D70" s="7">
        <f t="shared" si="2"/>
        <v>7360.2</v>
      </c>
      <c r="E70" s="7">
        <f t="shared" ref="E70:F70" si="72">if($D70&lt;15000,$D70*12/100,15000*12/100)</f>
        <v>883.224</v>
      </c>
      <c r="F70" s="7">
        <f t="shared" si="72"/>
        <v>883.224</v>
      </c>
      <c r="G70" s="7">
        <f t="shared" si="4"/>
        <v>1766.448</v>
      </c>
    </row>
    <row r="71">
      <c r="A71" s="8">
        <f t="shared" si="5"/>
        <v>70</v>
      </c>
      <c r="B71" s="61" t="s">
        <v>403</v>
      </c>
      <c r="C71" s="57">
        <v>21667.0</v>
      </c>
      <c r="D71" s="7">
        <f t="shared" si="2"/>
        <v>13000.2</v>
      </c>
      <c r="E71" s="7">
        <f t="shared" ref="E71:F71" si="73">if($D71&lt;15000,$D71*12/100,15000*12/100)</f>
        <v>1560.024</v>
      </c>
      <c r="F71" s="7">
        <f t="shared" si="73"/>
        <v>1560.024</v>
      </c>
      <c r="G71" s="7">
        <f t="shared" si="4"/>
        <v>3120.048</v>
      </c>
    </row>
    <row r="72">
      <c r="A72" s="8">
        <f t="shared" si="5"/>
        <v>71</v>
      </c>
      <c r="B72" s="61" t="s">
        <v>404</v>
      </c>
      <c r="C72" s="57">
        <v>29000.0</v>
      </c>
      <c r="D72" s="7">
        <f t="shared" si="2"/>
        <v>17400</v>
      </c>
      <c r="E72" s="7">
        <f t="shared" ref="E72:F72" si="74">if($D72&lt;15000,$D72*12/100,15000*12/100)</f>
        <v>1800</v>
      </c>
      <c r="F72" s="7">
        <f t="shared" si="74"/>
        <v>1800</v>
      </c>
      <c r="G72" s="7">
        <f t="shared" si="4"/>
        <v>3600</v>
      </c>
    </row>
    <row r="73">
      <c r="A73" s="8">
        <f t="shared" si="5"/>
        <v>72</v>
      </c>
      <c r="B73" s="30" t="s">
        <v>405</v>
      </c>
      <c r="C73" s="63">
        <v>22233.0</v>
      </c>
      <c r="D73" s="7">
        <f t="shared" si="2"/>
        <v>13339.8</v>
      </c>
      <c r="E73" s="7">
        <f t="shared" ref="E73:F73" si="75">if($D73&lt;15000,$D73*12/100,15000*12/100)</f>
        <v>1600.776</v>
      </c>
      <c r="F73" s="7">
        <f t="shared" si="75"/>
        <v>1600.776</v>
      </c>
      <c r="G73" s="7">
        <f t="shared" si="4"/>
        <v>3201.552</v>
      </c>
    </row>
    <row r="74">
      <c r="A74" s="8">
        <f t="shared" si="5"/>
        <v>73</v>
      </c>
      <c r="B74" s="61" t="s">
        <v>406</v>
      </c>
      <c r="C74" s="63">
        <v>21667.0</v>
      </c>
      <c r="D74" s="7">
        <f t="shared" si="2"/>
        <v>13000.2</v>
      </c>
      <c r="E74" s="7">
        <f t="shared" ref="E74:F74" si="76">if($D74&lt;15000,$D74*12/100,15000*12/100)</f>
        <v>1560.024</v>
      </c>
      <c r="F74" s="7">
        <f t="shared" si="76"/>
        <v>1560.024</v>
      </c>
      <c r="G74" s="7">
        <f t="shared" si="4"/>
        <v>3120.048</v>
      </c>
    </row>
    <row r="75">
      <c r="A75" s="8">
        <f t="shared" si="5"/>
        <v>74</v>
      </c>
      <c r="B75" s="47" t="s">
        <v>368</v>
      </c>
      <c r="C75" s="63">
        <v>14500.0</v>
      </c>
      <c r="D75" s="7">
        <f t="shared" si="2"/>
        <v>8700</v>
      </c>
      <c r="E75" s="7">
        <f t="shared" ref="E75:F75" si="77">if($D75&lt;15000,$D75*12/100,15000*12/100)</f>
        <v>1044</v>
      </c>
      <c r="F75" s="7">
        <f t="shared" si="77"/>
        <v>1044</v>
      </c>
      <c r="G75" s="7">
        <f t="shared" si="4"/>
        <v>2088</v>
      </c>
    </row>
    <row r="76">
      <c r="A76" s="8">
        <f t="shared" si="5"/>
        <v>75</v>
      </c>
      <c r="B76" s="47" t="s">
        <v>369</v>
      </c>
      <c r="C76" s="64">
        <v>14250.0</v>
      </c>
      <c r="D76" s="7">
        <f t="shared" si="2"/>
        <v>8550</v>
      </c>
      <c r="E76" s="7">
        <f t="shared" ref="E76:F76" si="78">if($D76&lt;15000,$D76*12/100,15000*12/100)</f>
        <v>1026</v>
      </c>
      <c r="F76" s="7">
        <f t="shared" si="78"/>
        <v>1026</v>
      </c>
      <c r="G76" s="7">
        <f t="shared" si="4"/>
        <v>2052</v>
      </c>
    </row>
    <row r="77">
      <c r="A77" s="8">
        <f t="shared" si="5"/>
        <v>76</v>
      </c>
      <c r="B77" s="30" t="s">
        <v>370</v>
      </c>
      <c r="C77" s="64">
        <v>15000.0</v>
      </c>
      <c r="D77" s="7">
        <f t="shared" si="2"/>
        <v>9000</v>
      </c>
      <c r="E77" s="7">
        <f t="shared" ref="E77:F77" si="79">if($D77&lt;15000,$D77*12/100,15000*12/100)</f>
        <v>1080</v>
      </c>
      <c r="F77" s="7">
        <f t="shared" si="79"/>
        <v>1080</v>
      </c>
      <c r="G77" s="7">
        <f t="shared" si="4"/>
        <v>2160</v>
      </c>
    </row>
    <row r="78">
      <c r="A78" s="8">
        <f t="shared" si="5"/>
        <v>77</v>
      </c>
      <c r="B78" s="30" t="s">
        <v>371</v>
      </c>
      <c r="C78" s="64">
        <v>20000.0</v>
      </c>
      <c r="D78" s="7">
        <f t="shared" si="2"/>
        <v>12000</v>
      </c>
      <c r="E78" s="7">
        <f t="shared" ref="E78:F78" si="80">if($D78&lt;15000,$D78*12/100,15000*12/100)</f>
        <v>1440</v>
      </c>
      <c r="F78" s="7">
        <f t="shared" si="80"/>
        <v>1440</v>
      </c>
      <c r="G78" s="7">
        <f t="shared" si="4"/>
        <v>2880</v>
      </c>
    </row>
    <row r="79">
      <c r="A79" s="8">
        <f t="shared" si="5"/>
        <v>78</v>
      </c>
      <c r="B79" s="47" t="s">
        <v>372</v>
      </c>
      <c r="C79" s="64">
        <v>14500.0</v>
      </c>
      <c r="D79" s="7">
        <f t="shared" si="2"/>
        <v>8700</v>
      </c>
      <c r="E79" s="7">
        <f t="shared" ref="E79:F79" si="81">if($D79&lt;15000,$D79*12/100,15000*12/100)</f>
        <v>1044</v>
      </c>
      <c r="F79" s="7">
        <f t="shared" si="81"/>
        <v>1044</v>
      </c>
      <c r="G79" s="7">
        <f t="shared" si="4"/>
        <v>2088</v>
      </c>
    </row>
    <row r="80">
      <c r="A80" s="8">
        <f t="shared" si="5"/>
        <v>79</v>
      </c>
      <c r="B80" s="47" t="s">
        <v>373</v>
      </c>
      <c r="C80" s="64">
        <v>25000.0</v>
      </c>
      <c r="D80" s="7">
        <f t="shared" si="2"/>
        <v>15000</v>
      </c>
      <c r="E80" s="7">
        <f t="shared" ref="E80:F80" si="82">if($D80&lt;15000,$D80*12/100,15000*12/100)</f>
        <v>1800</v>
      </c>
      <c r="F80" s="7">
        <f t="shared" si="82"/>
        <v>1800</v>
      </c>
      <c r="G80" s="7">
        <f t="shared" si="4"/>
        <v>3600</v>
      </c>
    </row>
    <row r="81">
      <c r="A81" s="8">
        <f t="shared" si="5"/>
        <v>80</v>
      </c>
      <c r="B81" s="47" t="s">
        <v>374</v>
      </c>
      <c r="C81" s="64">
        <v>24167.0</v>
      </c>
      <c r="D81" s="7">
        <f t="shared" si="2"/>
        <v>14500.2</v>
      </c>
      <c r="E81" s="7">
        <f t="shared" ref="E81:F81" si="83">if($D81&lt;15000,$D81*12/100,15000*12/100)</f>
        <v>1740.024</v>
      </c>
      <c r="F81" s="7">
        <f t="shared" si="83"/>
        <v>1740.024</v>
      </c>
      <c r="G81" s="7">
        <f t="shared" si="4"/>
        <v>3480.048</v>
      </c>
    </row>
    <row r="82">
      <c r="A82" s="8">
        <f t="shared" si="5"/>
        <v>81</v>
      </c>
      <c r="B82" s="30" t="s">
        <v>380</v>
      </c>
      <c r="C82" s="64">
        <v>12000.0</v>
      </c>
      <c r="D82" s="7">
        <f t="shared" si="2"/>
        <v>7200</v>
      </c>
      <c r="E82" s="7">
        <f t="shared" ref="E82:F82" si="84">if($D82&lt;15000,$D82*12/100,15000*12/100)</f>
        <v>864</v>
      </c>
      <c r="F82" s="7">
        <f t="shared" si="84"/>
        <v>864</v>
      </c>
      <c r="G82" s="7">
        <f t="shared" si="4"/>
        <v>1728</v>
      </c>
    </row>
    <row r="83">
      <c r="A83" s="8">
        <f t="shared" si="5"/>
        <v>82</v>
      </c>
      <c r="B83" s="30" t="s">
        <v>376</v>
      </c>
      <c r="C83" s="64">
        <v>25000.0</v>
      </c>
      <c r="D83" s="7">
        <f t="shared" si="2"/>
        <v>15000</v>
      </c>
      <c r="E83" s="7">
        <f t="shared" ref="E83:F83" si="85">if($D83&lt;15000,$D83*12/100,15000*12/100)</f>
        <v>1800</v>
      </c>
      <c r="F83" s="7">
        <f t="shared" si="85"/>
        <v>1800</v>
      </c>
      <c r="G83" s="7">
        <f t="shared" si="4"/>
        <v>3600</v>
      </c>
    </row>
    <row r="84">
      <c r="A84" s="8">
        <f t="shared" si="5"/>
        <v>83</v>
      </c>
      <c r="B84" s="61" t="s">
        <v>407</v>
      </c>
      <c r="C84" s="64">
        <v>10667.0</v>
      </c>
      <c r="D84" s="7">
        <f t="shared" si="2"/>
        <v>6400.2</v>
      </c>
      <c r="E84" s="7">
        <f t="shared" ref="E84:F84" si="86">if($D84&lt;15000,$D84*12/100,15000*12/100)</f>
        <v>768.024</v>
      </c>
      <c r="F84" s="7">
        <f t="shared" si="86"/>
        <v>768.024</v>
      </c>
      <c r="G84" s="7">
        <f t="shared" si="4"/>
        <v>1536.048</v>
      </c>
    </row>
    <row r="85">
      <c r="A85" s="8">
        <f t="shared" si="5"/>
        <v>84</v>
      </c>
      <c r="B85" s="61" t="s">
        <v>408</v>
      </c>
      <c r="C85" s="64">
        <v>24167.0</v>
      </c>
      <c r="D85" s="7">
        <f t="shared" si="2"/>
        <v>14500.2</v>
      </c>
      <c r="E85" s="7">
        <f t="shared" ref="E85:F85" si="87">if($D85&lt;15000,$D85*12/100,15000*12/100)</f>
        <v>1740.024</v>
      </c>
      <c r="F85" s="7">
        <f t="shared" si="87"/>
        <v>1740.024</v>
      </c>
      <c r="G85" s="7">
        <f t="shared" si="4"/>
        <v>3480.048</v>
      </c>
    </row>
    <row r="86">
      <c r="A86" s="8">
        <f t="shared" si="5"/>
        <v>85</v>
      </c>
      <c r="B86" s="61" t="s">
        <v>409</v>
      </c>
      <c r="C86" s="64">
        <v>20000.0</v>
      </c>
      <c r="D86" s="7">
        <f t="shared" si="2"/>
        <v>12000</v>
      </c>
      <c r="E86" s="7">
        <f t="shared" ref="E86:F86" si="88">if($D86&lt;15000,$D86*12/100,15000*12/100)</f>
        <v>1440</v>
      </c>
      <c r="F86" s="7">
        <f t="shared" si="88"/>
        <v>1440</v>
      </c>
      <c r="G86" s="7">
        <f t="shared" si="4"/>
        <v>2880</v>
      </c>
    </row>
    <row r="87">
      <c r="A87" s="8">
        <f t="shared" si="5"/>
        <v>86</v>
      </c>
      <c r="B87" s="61" t="s">
        <v>366</v>
      </c>
      <c r="C87" s="64">
        <v>25133.0</v>
      </c>
      <c r="D87" s="7">
        <f t="shared" si="2"/>
        <v>15079.8</v>
      </c>
      <c r="E87" s="7">
        <f t="shared" ref="E87:F87" si="89">if($D87&lt;15000,$D87*12/100,15000*12/100)</f>
        <v>1800</v>
      </c>
      <c r="F87" s="7">
        <f t="shared" si="89"/>
        <v>1800</v>
      </c>
      <c r="G87" s="7">
        <f t="shared" si="4"/>
        <v>3600</v>
      </c>
    </row>
    <row r="88">
      <c r="A88" s="8">
        <f t="shared" si="5"/>
        <v>87</v>
      </c>
      <c r="B88" s="61" t="s">
        <v>410</v>
      </c>
      <c r="C88" s="64">
        <v>25000.0</v>
      </c>
      <c r="D88" s="7">
        <f t="shared" si="2"/>
        <v>15000</v>
      </c>
      <c r="E88" s="7">
        <f t="shared" ref="E88:F88" si="90">if($D88&lt;15000,$D88*12/100,15000*12/100)</f>
        <v>1800</v>
      </c>
      <c r="F88" s="7">
        <f t="shared" si="90"/>
        <v>1800</v>
      </c>
      <c r="G88" s="7">
        <f t="shared" si="4"/>
        <v>3600</v>
      </c>
    </row>
    <row r="89">
      <c r="A89" s="8">
        <f t="shared" si="5"/>
        <v>88</v>
      </c>
      <c r="B89" s="61" t="s">
        <v>411</v>
      </c>
      <c r="C89" s="64">
        <v>20000.0</v>
      </c>
      <c r="D89" s="7">
        <f t="shared" si="2"/>
        <v>12000</v>
      </c>
      <c r="E89" s="7">
        <f t="shared" ref="E89:F89" si="91">if($D89&lt;15000,$D89*12/100,15000*12/100)</f>
        <v>1440</v>
      </c>
      <c r="F89" s="7">
        <f t="shared" si="91"/>
        <v>1440</v>
      </c>
      <c r="G89" s="7">
        <f t="shared" si="4"/>
        <v>2880</v>
      </c>
    </row>
    <row r="90">
      <c r="A90" s="9" t="s">
        <v>34</v>
      </c>
      <c r="B90" s="10"/>
      <c r="C90" s="11">
        <f t="shared" ref="C90:G90" si="92">sum(C2:C89)</f>
        <v>1940984</v>
      </c>
      <c r="D90" s="11">
        <f t="shared" si="92"/>
        <v>1164590.4</v>
      </c>
      <c r="E90" s="11">
        <f t="shared" si="92"/>
        <v>118282.896</v>
      </c>
      <c r="F90" s="11">
        <f t="shared" si="92"/>
        <v>118282.896</v>
      </c>
      <c r="G90" s="11">
        <f t="shared" si="92"/>
        <v>236565.792</v>
      </c>
    </row>
  </sheetData>
  <mergeCells count="1">
    <mergeCell ref="A90:B90"/>
  </mergeCells>
  <hyperlinks>
    <hyperlink r:id="rId1" ref="A1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53" t="s">
        <v>381</v>
      </c>
      <c r="C2" s="3">
        <v>78387.0</v>
      </c>
      <c r="D2" s="7">
        <f t="shared" ref="D2:D88" si="2">C2*60/100</f>
        <v>47032.2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8" si="4">E2+F2</f>
        <v>3600</v>
      </c>
    </row>
    <row r="3">
      <c r="A3" s="8">
        <f t="shared" ref="A3:A88" si="5">A2+1</f>
        <v>2</v>
      </c>
      <c r="B3" s="53" t="s">
        <v>195</v>
      </c>
      <c r="C3" s="3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53" t="s">
        <v>203</v>
      </c>
      <c r="C4" s="3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53" t="s">
        <v>200</v>
      </c>
      <c r="C5" s="3">
        <v>37000.0</v>
      </c>
      <c r="D5" s="7">
        <f t="shared" si="2"/>
        <v>22200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53" t="s">
        <v>382</v>
      </c>
      <c r="C6" s="3">
        <v>23226.0</v>
      </c>
      <c r="D6" s="7">
        <f t="shared" si="2"/>
        <v>13935.6</v>
      </c>
      <c r="E6" s="7">
        <f t="shared" ref="E6:F6" si="8">if($D6&lt;15000,$D6*12/100,15000*12/100)</f>
        <v>1672.272</v>
      </c>
      <c r="F6" s="7">
        <f t="shared" si="8"/>
        <v>1672.272</v>
      </c>
      <c r="G6" s="7">
        <f t="shared" si="4"/>
        <v>3344.544</v>
      </c>
    </row>
    <row r="7">
      <c r="A7" s="8">
        <f t="shared" si="5"/>
        <v>6</v>
      </c>
      <c r="B7" s="53" t="s">
        <v>231</v>
      </c>
      <c r="C7" s="3">
        <v>26129.0</v>
      </c>
      <c r="D7" s="7">
        <f t="shared" si="2"/>
        <v>15677.4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53" t="s">
        <v>236</v>
      </c>
      <c r="C8" s="3">
        <v>19000.0</v>
      </c>
      <c r="D8" s="7">
        <f t="shared" si="2"/>
        <v>11400</v>
      </c>
      <c r="E8" s="7">
        <f t="shared" ref="E8:F8" si="10">if($D8&lt;15000,$D8*12/100,15000*12/100)</f>
        <v>1368</v>
      </c>
      <c r="F8" s="7">
        <f t="shared" si="10"/>
        <v>1368</v>
      </c>
      <c r="G8" s="7">
        <f t="shared" si="4"/>
        <v>2736</v>
      </c>
    </row>
    <row r="9">
      <c r="A9" s="8">
        <f t="shared" si="5"/>
        <v>8</v>
      </c>
      <c r="B9" s="53" t="s">
        <v>198</v>
      </c>
      <c r="C9" s="3">
        <v>77000.0</v>
      </c>
      <c r="D9" s="7">
        <f t="shared" si="2"/>
        <v>46200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53" t="s">
        <v>199</v>
      </c>
      <c r="C10" s="3">
        <v>67355.0</v>
      </c>
      <c r="D10" s="7">
        <f t="shared" si="2"/>
        <v>40413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53" t="s">
        <v>412</v>
      </c>
      <c r="C11" s="3">
        <v>64581.0</v>
      </c>
      <c r="D11" s="7">
        <f t="shared" si="2"/>
        <v>38748.6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53" t="s">
        <v>413</v>
      </c>
      <c r="C12" s="3">
        <v>41129.0</v>
      </c>
      <c r="D12" s="7">
        <f t="shared" si="2"/>
        <v>24677.4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53" t="s">
        <v>221</v>
      </c>
      <c r="C13" s="3">
        <v>24000.0</v>
      </c>
      <c r="D13" s="7">
        <f t="shared" si="2"/>
        <v>14400</v>
      </c>
      <c r="E13" s="7">
        <f t="shared" ref="E13:F13" si="15">if($D13&lt;15000,$D13*12/100,15000*12/100)</f>
        <v>1728</v>
      </c>
      <c r="F13" s="7">
        <f t="shared" si="15"/>
        <v>1728</v>
      </c>
      <c r="G13" s="7">
        <f t="shared" si="4"/>
        <v>3456</v>
      </c>
    </row>
    <row r="14">
      <c r="A14" s="8">
        <f t="shared" si="5"/>
        <v>13</v>
      </c>
      <c r="B14" s="53" t="s">
        <v>201</v>
      </c>
      <c r="C14" s="3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53" t="s">
        <v>213</v>
      </c>
      <c r="C15" s="3">
        <v>24000.0</v>
      </c>
      <c r="D15" s="7">
        <f t="shared" si="2"/>
        <v>14400</v>
      </c>
      <c r="E15" s="7">
        <f t="shared" ref="E15:F15" si="17">if($D15&lt;15000,$D15*12/100,15000*12/100)</f>
        <v>1728</v>
      </c>
      <c r="F15" s="7">
        <f t="shared" si="17"/>
        <v>1728</v>
      </c>
      <c r="G15" s="7">
        <f t="shared" si="4"/>
        <v>3456</v>
      </c>
    </row>
    <row r="16">
      <c r="A16" s="8">
        <f t="shared" si="5"/>
        <v>15</v>
      </c>
      <c r="B16" s="53" t="s">
        <v>208</v>
      </c>
      <c r="C16" s="3">
        <v>32000.0</v>
      </c>
      <c r="D16" s="7">
        <f t="shared" si="2"/>
        <v>19200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53" t="s">
        <v>248</v>
      </c>
      <c r="C17" s="3">
        <v>30000.0</v>
      </c>
      <c r="D17" s="7">
        <f t="shared" si="2"/>
        <v>18000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53" t="s">
        <v>202</v>
      </c>
      <c r="C18" s="3">
        <v>25258.0</v>
      </c>
      <c r="D18" s="7">
        <f t="shared" si="2"/>
        <v>15154.8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53" t="s">
        <v>209</v>
      </c>
      <c r="C19" s="3">
        <v>28000.0</v>
      </c>
      <c r="D19" s="7">
        <f t="shared" si="2"/>
        <v>16800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53" t="s">
        <v>214</v>
      </c>
      <c r="C20" s="3">
        <v>24000.0</v>
      </c>
      <c r="D20" s="7">
        <f t="shared" si="2"/>
        <v>14400</v>
      </c>
      <c r="E20" s="7">
        <f t="shared" ref="E20:F20" si="22">if($D20&lt;15000,$D20*12/100,15000*12/100)</f>
        <v>1728</v>
      </c>
      <c r="F20" s="7">
        <f t="shared" si="22"/>
        <v>1728</v>
      </c>
      <c r="G20" s="7">
        <f t="shared" si="4"/>
        <v>3456</v>
      </c>
    </row>
    <row r="21">
      <c r="A21" s="8">
        <f t="shared" si="5"/>
        <v>20</v>
      </c>
      <c r="B21" s="53" t="s">
        <v>206</v>
      </c>
      <c r="C21" s="3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53" t="s">
        <v>414</v>
      </c>
      <c r="C22" s="3">
        <v>22258.0</v>
      </c>
      <c r="D22" s="7">
        <f t="shared" si="2"/>
        <v>13354.8</v>
      </c>
      <c r="E22" s="7">
        <f t="shared" ref="E22:F22" si="24">if($D22&lt;15000,$D22*12/100,15000*12/100)</f>
        <v>1602.576</v>
      </c>
      <c r="F22" s="7">
        <f t="shared" si="24"/>
        <v>1602.576</v>
      </c>
      <c r="G22" s="7">
        <f t="shared" si="4"/>
        <v>3205.152</v>
      </c>
    </row>
    <row r="23">
      <c r="A23" s="8">
        <f t="shared" si="5"/>
        <v>22</v>
      </c>
      <c r="B23" s="53" t="s">
        <v>210</v>
      </c>
      <c r="C23" s="3">
        <v>31000.0</v>
      </c>
      <c r="D23" s="7">
        <f t="shared" si="2"/>
        <v>18600</v>
      </c>
      <c r="E23" s="7">
        <f t="shared" ref="E23:F23" si="25">if($D23&lt;15000,$D23*12/100,15000*12/100)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53" t="s">
        <v>211</v>
      </c>
      <c r="C24" s="3">
        <v>32000.0</v>
      </c>
      <c r="D24" s="7">
        <f t="shared" si="2"/>
        <v>19200</v>
      </c>
      <c r="E24" s="7">
        <f t="shared" ref="E24:F24" si="26">if($D24&lt;15000,$D24*12/100,15000*12/100)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53" t="s">
        <v>212</v>
      </c>
      <c r="C25" s="3">
        <v>27000.0</v>
      </c>
      <c r="D25" s="7">
        <f t="shared" si="2"/>
        <v>16200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53" t="s">
        <v>252</v>
      </c>
      <c r="C26" s="3">
        <v>20032.0</v>
      </c>
      <c r="D26" s="7">
        <f t="shared" si="2"/>
        <v>12019.2</v>
      </c>
      <c r="E26" s="7">
        <f t="shared" ref="E26:F26" si="28">if($D26&lt;15000,$D26*12/100,15000*12/100)</f>
        <v>1442.304</v>
      </c>
      <c r="F26" s="7">
        <f t="shared" si="28"/>
        <v>1442.304</v>
      </c>
      <c r="G26" s="7">
        <f t="shared" si="4"/>
        <v>2884.608</v>
      </c>
    </row>
    <row r="27">
      <c r="A27" s="8">
        <f t="shared" si="5"/>
        <v>26</v>
      </c>
      <c r="B27" s="53" t="s">
        <v>249</v>
      </c>
      <c r="C27" s="3">
        <v>17000.0</v>
      </c>
      <c r="D27" s="7">
        <f t="shared" si="2"/>
        <v>10200</v>
      </c>
      <c r="E27" s="7">
        <f t="shared" ref="E27:F27" si="29">if($D27&lt;15000,$D27*12/100,15000*12/100)</f>
        <v>1224</v>
      </c>
      <c r="F27" s="7">
        <f t="shared" si="29"/>
        <v>1224</v>
      </c>
      <c r="G27" s="7">
        <f t="shared" si="4"/>
        <v>2448</v>
      </c>
    </row>
    <row r="28">
      <c r="A28" s="8">
        <f t="shared" si="5"/>
        <v>27</v>
      </c>
      <c r="B28" s="53" t="s">
        <v>223</v>
      </c>
      <c r="C28" s="3">
        <v>23000.0</v>
      </c>
      <c r="D28" s="7">
        <f t="shared" si="2"/>
        <v>13800</v>
      </c>
      <c r="E28" s="7">
        <f t="shared" ref="E28:F28" si="30">if($D28&lt;15000,$D28*12/100,15000*12/100)</f>
        <v>1656</v>
      </c>
      <c r="F28" s="7">
        <f t="shared" si="30"/>
        <v>1656</v>
      </c>
      <c r="G28" s="7">
        <f t="shared" si="4"/>
        <v>3312</v>
      </c>
    </row>
    <row r="29">
      <c r="A29" s="8">
        <f t="shared" si="5"/>
        <v>28</v>
      </c>
      <c r="B29" s="53" t="s">
        <v>415</v>
      </c>
      <c r="C29" s="3">
        <v>7258.0</v>
      </c>
      <c r="D29" s="7">
        <f t="shared" si="2"/>
        <v>4354.8</v>
      </c>
      <c r="E29" s="7">
        <f t="shared" ref="E29:F29" si="31">if($D29&lt;15000,$D29*12/100,15000*12/100)</f>
        <v>522.576</v>
      </c>
      <c r="F29" s="7">
        <f t="shared" si="31"/>
        <v>522.576</v>
      </c>
      <c r="G29" s="7">
        <f t="shared" si="4"/>
        <v>1045.152</v>
      </c>
    </row>
    <row r="30">
      <c r="A30" s="8">
        <f t="shared" si="5"/>
        <v>29</v>
      </c>
      <c r="B30" s="53" t="s">
        <v>416</v>
      </c>
      <c r="C30" s="3">
        <v>19355.0</v>
      </c>
      <c r="D30" s="7">
        <f t="shared" si="2"/>
        <v>11613</v>
      </c>
      <c r="E30" s="7">
        <f t="shared" ref="E30:F30" si="32">if($D30&lt;15000,$D30*12/100,15000*12/100)</f>
        <v>1393.56</v>
      </c>
      <c r="F30" s="7">
        <f t="shared" si="32"/>
        <v>1393.56</v>
      </c>
      <c r="G30" s="7">
        <f t="shared" si="4"/>
        <v>2787.12</v>
      </c>
    </row>
    <row r="31">
      <c r="A31" s="8">
        <f t="shared" si="5"/>
        <v>30</v>
      </c>
      <c r="B31" s="53" t="s">
        <v>417</v>
      </c>
      <c r="C31" s="3">
        <v>25000.0</v>
      </c>
      <c r="D31" s="7">
        <f t="shared" si="2"/>
        <v>15000</v>
      </c>
      <c r="E31" s="7">
        <f t="shared" ref="E31:F31" si="33">if($D31&lt;15000,$D31*12/100,15000*12/100)</f>
        <v>1800</v>
      </c>
      <c r="F31" s="7">
        <f t="shared" si="33"/>
        <v>1800</v>
      </c>
      <c r="G31" s="7">
        <f t="shared" si="4"/>
        <v>3600</v>
      </c>
    </row>
    <row r="32">
      <c r="A32" s="8">
        <f t="shared" si="5"/>
        <v>31</v>
      </c>
      <c r="B32" s="53" t="s">
        <v>216</v>
      </c>
      <c r="C32" s="3">
        <v>25000.0</v>
      </c>
      <c r="D32" s="7">
        <f t="shared" si="2"/>
        <v>15000</v>
      </c>
      <c r="E32" s="7">
        <f t="shared" ref="E32:F32" si="34">if($D32&lt;15000,$D32*12/100,15000*12/100)</f>
        <v>1800</v>
      </c>
      <c r="F32" s="7">
        <f t="shared" si="34"/>
        <v>1800</v>
      </c>
      <c r="G32" s="7">
        <f t="shared" si="4"/>
        <v>3600</v>
      </c>
    </row>
    <row r="33">
      <c r="A33" s="8">
        <f t="shared" si="5"/>
        <v>32</v>
      </c>
      <c r="B33" s="53" t="s">
        <v>277</v>
      </c>
      <c r="C33" s="3">
        <v>16000.0</v>
      </c>
      <c r="D33" s="7">
        <f t="shared" si="2"/>
        <v>9600</v>
      </c>
      <c r="E33" s="7">
        <f t="shared" ref="E33:F33" si="35">if($D33&lt;15000,$D33*12/100,15000*12/100)</f>
        <v>1152</v>
      </c>
      <c r="F33" s="7">
        <f t="shared" si="35"/>
        <v>1152</v>
      </c>
      <c r="G33" s="7">
        <f t="shared" si="4"/>
        <v>2304</v>
      </c>
    </row>
    <row r="34">
      <c r="A34" s="8">
        <f t="shared" si="5"/>
        <v>33</v>
      </c>
      <c r="B34" s="53" t="s">
        <v>258</v>
      </c>
      <c r="C34" s="3">
        <v>15484.0</v>
      </c>
      <c r="D34" s="7">
        <f t="shared" si="2"/>
        <v>9290.4</v>
      </c>
      <c r="E34" s="7">
        <f t="shared" ref="E34:F34" si="36">if($D34&lt;15000,$D34*12/100,15000*12/100)</f>
        <v>1114.848</v>
      </c>
      <c r="F34" s="7">
        <f t="shared" si="36"/>
        <v>1114.848</v>
      </c>
      <c r="G34" s="7">
        <f t="shared" si="4"/>
        <v>2229.696</v>
      </c>
    </row>
    <row r="35">
      <c r="A35" s="8">
        <f t="shared" si="5"/>
        <v>34</v>
      </c>
      <c r="B35" s="53" t="s">
        <v>279</v>
      </c>
      <c r="C35" s="3">
        <v>24000.0</v>
      </c>
      <c r="D35" s="7">
        <f t="shared" si="2"/>
        <v>14400</v>
      </c>
      <c r="E35" s="7">
        <f t="shared" ref="E35:F35" si="37">if($D35&lt;15000,$D35*12/100,15000*12/100)</f>
        <v>1728</v>
      </c>
      <c r="F35" s="7">
        <f t="shared" si="37"/>
        <v>1728</v>
      </c>
      <c r="G35" s="7">
        <f t="shared" si="4"/>
        <v>3456</v>
      </c>
    </row>
    <row r="36">
      <c r="A36" s="8">
        <f t="shared" si="5"/>
        <v>35</v>
      </c>
      <c r="B36" s="53" t="s">
        <v>217</v>
      </c>
      <c r="C36" s="3">
        <v>21290.0</v>
      </c>
      <c r="D36" s="7">
        <f t="shared" si="2"/>
        <v>12774</v>
      </c>
      <c r="E36" s="7">
        <f t="shared" ref="E36:F36" si="38">if($D36&lt;15000,$D36*12/100,15000*12/100)</f>
        <v>1532.88</v>
      </c>
      <c r="F36" s="7">
        <f t="shared" si="38"/>
        <v>1532.88</v>
      </c>
      <c r="G36" s="7">
        <f t="shared" si="4"/>
        <v>3065.76</v>
      </c>
    </row>
    <row r="37">
      <c r="A37" s="8">
        <f t="shared" si="5"/>
        <v>36</v>
      </c>
      <c r="B37" s="53" t="s">
        <v>245</v>
      </c>
      <c r="C37" s="20">
        <v>13065.0</v>
      </c>
      <c r="D37" s="7">
        <f t="shared" si="2"/>
        <v>7839</v>
      </c>
      <c r="E37" s="7">
        <f t="shared" ref="E37:F37" si="39">if($D37&lt;15000,$D37*12/100,15000*12/100)</f>
        <v>940.68</v>
      </c>
      <c r="F37" s="7">
        <f t="shared" si="39"/>
        <v>940.68</v>
      </c>
      <c r="G37" s="7">
        <f t="shared" si="4"/>
        <v>1881.36</v>
      </c>
    </row>
    <row r="38">
      <c r="A38" s="8">
        <f t="shared" si="5"/>
        <v>37</v>
      </c>
      <c r="B38" s="55" t="s">
        <v>244</v>
      </c>
      <c r="C38" s="20">
        <v>13548.0</v>
      </c>
      <c r="D38" s="7">
        <f t="shared" si="2"/>
        <v>8128.8</v>
      </c>
      <c r="E38" s="7">
        <f t="shared" ref="E38:F38" si="40">if($D38&lt;15000,$D38*12/100,15000*12/100)</f>
        <v>975.456</v>
      </c>
      <c r="F38" s="7">
        <f t="shared" si="40"/>
        <v>975.456</v>
      </c>
      <c r="G38" s="7">
        <f t="shared" si="4"/>
        <v>1950.912</v>
      </c>
    </row>
    <row r="39">
      <c r="A39" s="8">
        <f t="shared" si="5"/>
        <v>38</v>
      </c>
      <c r="B39" s="55" t="s">
        <v>278</v>
      </c>
      <c r="C39" s="20">
        <v>12194.0</v>
      </c>
      <c r="D39" s="7">
        <f t="shared" si="2"/>
        <v>7316.4</v>
      </c>
      <c r="E39" s="7">
        <f t="shared" ref="E39:F39" si="41">if($D39&lt;15000,$D39*12/100,15000*12/100)</f>
        <v>877.968</v>
      </c>
      <c r="F39" s="7">
        <f t="shared" si="41"/>
        <v>877.968</v>
      </c>
      <c r="G39" s="7">
        <f t="shared" si="4"/>
        <v>1755.936</v>
      </c>
    </row>
    <row r="40">
      <c r="A40" s="8">
        <f t="shared" si="5"/>
        <v>39</v>
      </c>
      <c r="B40" s="55" t="s">
        <v>228</v>
      </c>
      <c r="C40" s="20">
        <v>4839.0</v>
      </c>
      <c r="D40" s="7">
        <f t="shared" si="2"/>
        <v>2903.4</v>
      </c>
      <c r="E40" s="7">
        <f t="shared" ref="E40:F40" si="42">if($D40&lt;15000,$D40*12/100,15000*12/100)</f>
        <v>348.408</v>
      </c>
      <c r="F40" s="7">
        <f t="shared" si="42"/>
        <v>348.408</v>
      </c>
      <c r="G40" s="7">
        <f t="shared" si="4"/>
        <v>696.816</v>
      </c>
    </row>
    <row r="41">
      <c r="A41" s="8">
        <f t="shared" si="5"/>
        <v>40</v>
      </c>
      <c r="B41" s="55" t="s">
        <v>243</v>
      </c>
      <c r="C41" s="20">
        <v>15484.0</v>
      </c>
      <c r="D41" s="7">
        <f t="shared" si="2"/>
        <v>9290.4</v>
      </c>
      <c r="E41" s="7">
        <f t="shared" ref="E41:F41" si="43">if($D41&lt;15000,$D41*12/100,15000*12/100)</f>
        <v>1114.848</v>
      </c>
      <c r="F41" s="7">
        <f t="shared" si="43"/>
        <v>1114.848</v>
      </c>
      <c r="G41" s="7">
        <f t="shared" si="4"/>
        <v>2229.696</v>
      </c>
    </row>
    <row r="42">
      <c r="A42" s="8">
        <f t="shared" si="5"/>
        <v>41</v>
      </c>
      <c r="B42" s="55" t="s">
        <v>227</v>
      </c>
      <c r="C42" s="20">
        <v>16452.0</v>
      </c>
      <c r="D42" s="7">
        <f t="shared" si="2"/>
        <v>9871.2</v>
      </c>
      <c r="E42" s="7">
        <f t="shared" ref="E42:F42" si="44">if($D42&lt;15000,$D42*12/100,15000*12/100)</f>
        <v>1184.544</v>
      </c>
      <c r="F42" s="7">
        <f t="shared" si="44"/>
        <v>1184.544</v>
      </c>
      <c r="G42" s="7">
        <f t="shared" si="4"/>
        <v>2369.088</v>
      </c>
    </row>
    <row r="43">
      <c r="A43" s="8">
        <f t="shared" si="5"/>
        <v>42</v>
      </c>
      <c r="B43" s="55" t="s">
        <v>377</v>
      </c>
      <c r="C43" s="20">
        <v>18387.0</v>
      </c>
      <c r="D43" s="7">
        <f t="shared" si="2"/>
        <v>11032.2</v>
      </c>
      <c r="E43" s="7">
        <f t="shared" ref="E43:F43" si="45">if($D43&lt;15000,$D43*12/100,15000*12/100)</f>
        <v>1323.864</v>
      </c>
      <c r="F43" s="7">
        <f t="shared" si="45"/>
        <v>1323.864</v>
      </c>
      <c r="G43" s="7">
        <f t="shared" si="4"/>
        <v>2647.728</v>
      </c>
    </row>
    <row r="44">
      <c r="A44" s="8">
        <f t="shared" si="5"/>
        <v>43</v>
      </c>
      <c r="B44" s="55" t="s">
        <v>274</v>
      </c>
      <c r="C44" s="20">
        <v>20000.0</v>
      </c>
      <c r="D44" s="7">
        <f t="shared" si="2"/>
        <v>12000</v>
      </c>
      <c r="E44" s="7">
        <f t="shared" ref="E44:F44" si="46">if($D44&lt;15000,$D44*12/100,15000*12/100)</f>
        <v>1440</v>
      </c>
      <c r="F44" s="7">
        <f t="shared" si="46"/>
        <v>1440</v>
      </c>
      <c r="G44" s="7">
        <f t="shared" si="4"/>
        <v>2880</v>
      </c>
    </row>
    <row r="45">
      <c r="A45" s="8">
        <f t="shared" si="5"/>
        <v>44</v>
      </c>
      <c r="B45" s="55" t="s">
        <v>418</v>
      </c>
      <c r="C45" s="20">
        <v>9935.0</v>
      </c>
      <c r="D45" s="7">
        <f t="shared" si="2"/>
        <v>5961</v>
      </c>
      <c r="E45" s="7">
        <f t="shared" ref="E45:F45" si="47">if($D45&lt;15000,$D45*12/100,15000*12/100)</f>
        <v>715.32</v>
      </c>
      <c r="F45" s="7">
        <f t="shared" si="47"/>
        <v>715.32</v>
      </c>
      <c r="G45" s="7">
        <f t="shared" si="4"/>
        <v>1430.64</v>
      </c>
    </row>
    <row r="46">
      <c r="A46" s="8">
        <f t="shared" si="5"/>
        <v>45</v>
      </c>
      <c r="B46" s="55" t="s">
        <v>419</v>
      </c>
      <c r="C46" s="20">
        <v>15484.0</v>
      </c>
      <c r="D46" s="7">
        <f t="shared" si="2"/>
        <v>9290.4</v>
      </c>
      <c r="E46" s="7">
        <f t="shared" ref="E46:F46" si="48">if($D46&lt;15000,$D46*12/100,15000*12/100)</f>
        <v>1114.848</v>
      </c>
      <c r="F46" s="7">
        <f t="shared" si="48"/>
        <v>1114.848</v>
      </c>
      <c r="G46" s="7">
        <f t="shared" si="4"/>
        <v>2229.696</v>
      </c>
    </row>
    <row r="47">
      <c r="A47" s="8">
        <f t="shared" si="5"/>
        <v>46</v>
      </c>
      <c r="B47" s="55" t="s">
        <v>420</v>
      </c>
      <c r="C47" s="20">
        <v>15161.0</v>
      </c>
      <c r="D47" s="7">
        <f t="shared" si="2"/>
        <v>9096.6</v>
      </c>
      <c r="E47" s="7">
        <f t="shared" ref="E47:F47" si="49">if($D47&lt;15000,$D47*12/100,15000*12/100)</f>
        <v>1091.592</v>
      </c>
      <c r="F47" s="7">
        <f t="shared" si="49"/>
        <v>1091.592</v>
      </c>
      <c r="G47" s="7">
        <f t="shared" si="4"/>
        <v>2183.184</v>
      </c>
    </row>
    <row r="48">
      <c r="A48" s="8">
        <f t="shared" si="5"/>
        <v>47</v>
      </c>
      <c r="B48" s="55" t="s">
        <v>220</v>
      </c>
      <c r="C48" s="20">
        <v>14806.0</v>
      </c>
      <c r="D48" s="7">
        <f t="shared" si="2"/>
        <v>8883.6</v>
      </c>
      <c r="E48" s="7">
        <f t="shared" ref="E48:F48" si="50">if($D48&lt;15000,$D48*12/100,15000*12/100)</f>
        <v>1066.032</v>
      </c>
      <c r="F48" s="7">
        <f t="shared" si="50"/>
        <v>1066.032</v>
      </c>
      <c r="G48" s="7">
        <f t="shared" si="4"/>
        <v>2132.064</v>
      </c>
    </row>
    <row r="49">
      <c r="A49" s="8">
        <f t="shared" si="5"/>
        <v>48</v>
      </c>
      <c r="B49" s="55" t="s">
        <v>235</v>
      </c>
      <c r="C49" s="20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55" t="s">
        <v>273</v>
      </c>
      <c r="C50" s="20">
        <v>11226.0</v>
      </c>
      <c r="D50" s="7">
        <f t="shared" si="2"/>
        <v>6735.6</v>
      </c>
      <c r="E50" s="7">
        <f t="shared" ref="E50:F50" si="52">if($D50&lt;15000,$D50*12/100,15000*12/100)</f>
        <v>808.272</v>
      </c>
      <c r="F50" s="7">
        <f t="shared" si="52"/>
        <v>808.272</v>
      </c>
      <c r="G50" s="7">
        <f t="shared" si="4"/>
        <v>1616.544</v>
      </c>
    </row>
    <row r="51">
      <c r="A51" s="8">
        <f t="shared" si="5"/>
        <v>50</v>
      </c>
      <c r="B51" s="55" t="s">
        <v>275</v>
      </c>
      <c r="C51" s="20">
        <v>13935.0</v>
      </c>
      <c r="D51" s="7">
        <f t="shared" si="2"/>
        <v>8361</v>
      </c>
      <c r="E51" s="7">
        <f t="shared" ref="E51:F51" si="53">if($D51&lt;15000,$D51*12/100,15000*12/100)</f>
        <v>1003.32</v>
      </c>
      <c r="F51" s="7">
        <f t="shared" si="53"/>
        <v>1003.32</v>
      </c>
      <c r="G51" s="7">
        <f t="shared" si="4"/>
        <v>2006.64</v>
      </c>
    </row>
    <row r="52">
      <c r="A52" s="8">
        <f t="shared" si="5"/>
        <v>51</v>
      </c>
      <c r="B52" s="55" t="s">
        <v>421</v>
      </c>
      <c r="C52" s="20">
        <v>13548.0</v>
      </c>
      <c r="D52" s="7">
        <f t="shared" si="2"/>
        <v>8128.8</v>
      </c>
      <c r="E52" s="7">
        <f t="shared" ref="E52:F52" si="54">if($D52&lt;15000,$D52*12/100,15000*12/100)</f>
        <v>975.456</v>
      </c>
      <c r="F52" s="7">
        <f t="shared" si="54"/>
        <v>975.456</v>
      </c>
      <c r="G52" s="7">
        <f t="shared" si="4"/>
        <v>1950.912</v>
      </c>
    </row>
    <row r="53">
      <c r="A53" s="8">
        <f t="shared" si="5"/>
        <v>52</v>
      </c>
      <c r="B53" s="55" t="s">
        <v>422</v>
      </c>
      <c r="C53" s="20">
        <v>25000.0</v>
      </c>
      <c r="D53" s="7">
        <f t="shared" si="2"/>
        <v>15000</v>
      </c>
      <c r="E53" s="7">
        <f t="shared" ref="E53:F53" si="55">if($D53&lt;15000,$D53*12/100,15000*12/100)</f>
        <v>1800</v>
      </c>
      <c r="F53" s="7">
        <f t="shared" si="55"/>
        <v>1800</v>
      </c>
      <c r="G53" s="7">
        <f t="shared" si="4"/>
        <v>3600</v>
      </c>
    </row>
    <row r="54">
      <c r="A54" s="8">
        <f t="shared" si="5"/>
        <v>53</v>
      </c>
      <c r="B54" s="55" t="s">
        <v>423</v>
      </c>
      <c r="C54" s="20">
        <v>13000.0</v>
      </c>
      <c r="D54" s="7">
        <f t="shared" si="2"/>
        <v>7800</v>
      </c>
      <c r="E54" s="7">
        <f t="shared" ref="E54:F54" si="56">if($D54&lt;15000,$D54*12/100,15000*12/100)</f>
        <v>936</v>
      </c>
      <c r="F54" s="7">
        <f t="shared" si="56"/>
        <v>936</v>
      </c>
      <c r="G54" s="7">
        <f t="shared" si="4"/>
        <v>1872</v>
      </c>
    </row>
    <row r="55">
      <c r="A55" s="8">
        <f t="shared" si="5"/>
        <v>54</v>
      </c>
      <c r="B55" s="55" t="s">
        <v>424</v>
      </c>
      <c r="C55" s="20">
        <v>15000.0</v>
      </c>
      <c r="D55" s="7">
        <f t="shared" si="2"/>
        <v>9000</v>
      </c>
      <c r="E55" s="7">
        <f t="shared" ref="E55:F55" si="57">if($D55&lt;15000,$D55*12/100,15000*12/100)</f>
        <v>1080</v>
      </c>
      <c r="F55" s="7">
        <f t="shared" si="57"/>
        <v>1080</v>
      </c>
      <c r="G55" s="7">
        <f t="shared" si="4"/>
        <v>2160</v>
      </c>
    </row>
    <row r="56">
      <c r="A56" s="8">
        <f t="shared" si="5"/>
        <v>55</v>
      </c>
      <c r="B56" s="55" t="s">
        <v>425</v>
      </c>
      <c r="C56" s="20">
        <v>22000.0</v>
      </c>
      <c r="D56" s="7">
        <f t="shared" si="2"/>
        <v>13200</v>
      </c>
      <c r="E56" s="7">
        <f t="shared" ref="E56:F56" si="58">if($D56&lt;15000,$D56*12/100,15000*12/100)</f>
        <v>1584</v>
      </c>
      <c r="F56" s="7">
        <f t="shared" si="58"/>
        <v>1584</v>
      </c>
      <c r="G56" s="7">
        <f t="shared" si="4"/>
        <v>3168</v>
      </c>
    </row>
    <row r="57">
      <c r="A57" s="8">
        <f t="shared" si="5"/>
        <v>56</v>
      </c>
      <c r="B57" s="55" t="s">
        <v>426</v>
      </c>
      <c r="C57" s="20">
        <v>22000.0</v>
      </c>
      <c r="D57" s="7">
        <f t="shared" si="2"/>
        <v>13200</v>
      </c>
      <c r="E57" s="7">
        <f t="shared" ref="E57:F57" si="59">if($D57&lt;15000,$D57*12/100,15000*12/100)</f>
        <v>1584</v>
      </c>
      <c r="F57" s="7">
        <f t="shared" si="59"/>
        <v>1584</v>
      </c>
      <c r="G57" s="7">
        <f t="shared" si="4"/>
        <v>3168</v>
      </c>
    </row>
    <row r="58">
      <c r="A58" s="8">
        <f t="shared" si="5"/>
        <v>57</v>
      </c>
      <c r="B58" s="55" t="s">
        <v>427</v>
      </c>
      <c r="C58" s="20">
        <v>6194.0</v>
      </c>
      <c r="D58" s="7">
        <f t="shared" si="2"/>
        <v>3716.4</v>
      </c>
      <c r="E58" s="7">
        <f t="shared" ref="E58:F58" si="60">if($D58&lt;15000,$D58*12/100,15000*12/100)</f>
        <v>445.968</v>
      </c>
      <c r="F58" s="7">
        <f t="shared" si="60"/>
        <v>445.968</v>
      </c>
      <c r="G58" s="7">
        <f t="shared" si="4"/>
        <v>891.936</v>
      </c>
    </row>
    <row r="59">
      <c r="A59" s="8">
        <f t="shared" si="5"/>
        <v>58</v>
      </c>
      <c r="B59" s="55" t="s">
        <v>428</v>
      </c>
      <c r="C59" s="3">
        <v>13000.0</v>
      </c>
      <c r="D59" s="7">
        <f t="shared" si="2"/>
        <v>7800</v>
      </c>
      <c r="E59" s="7">
        <f t="shared" ref="E59:F59" si="61">if($D59&lt;15000,$D59*12/100,15000*12/100)</f>
        <v>936</v>
      </c>
      <c r="F59" s="7">
        <f t="shared" si="61"/>
        <v>936</v>
      </c>
      <c r="G59" s="7">
        <f t="shared" si="4"/>
        <v>1872</v>
      </c>
    </row>
    <row r="60">
      <c r="A60" s="8">
        <f t="shared" si="5"/>
        <v>59</v>
      </c>
      <c r="B60" s="55" t="s">
        <v>429</v>
      </c>
      <c r="C60" s="3">
        <v>13548.0</v>
      </c>
      <c r="D60" s="7">
        <f t="shared" si="2"/>
        <v>8128.8</v>
      </c>
      <c r="E60" s="7">
        <f t="shared" ref="E60:F60" si="62">if($D60&lt;15000,$D60*12/100,15000*12/100)</f>
        <v>975.456</v>
      </c>
      <c r="F60" s="7">
        <f t="shared" si="62"/>
        <v>975.456</v>
      </c>
      <c r="G60" s="7">
        <f t="shared" si="4"/>
        <v>1950.912</v>
      </c>
    </row>
    <row r="61">
      <c r="A61" s="8">
        <f t="shared" si="5"/>
        <v>60</v>
      </c>
      <c r="B61" s="55" t="s">
        <v>430</v>
      </c>
      <c r="C61" s="3">
        <v>2903.0</v>
      </c>
      <c r="D61" s="7">
        <f t="shared" si="2"/>
        <v>1741.8</v>
      </c>
      <c r="E61" s="7">
        <f t="shared" ref="E61:F61" si="63">if($D61&lt;15000,$D61*12/100,15000*12/100)</f>
        <v>209.016</v>
      </c>
      <c r="F61" s="7">
        <f t="shared" si="63"/>
        <v>209.016</v>
      </c>
      <c r="G61" s="7">
        <f t="shared" si="4"/>
        <v>418.032</v>
      </c>
    </row>
    <row r="62">
      <c r="A62" s="8">
        <f t="shared" si="5"/>
        <v>61</v>
      </c>
      <c r="B62" s="55" t="s">
        <v>431</v>
      </c>
      <c r="C62" s="3">
        <v>2097.0</v>
      </c>
      <c r="D62" s="7">
        <f t="shared" si="2"/>
        <v>1258.2</v>
      </c>
      <c r="E62" s="7">
        <f t="shared" ref="E62:F62" si="64">if($D62&lt;15000,$D62*12/100,15000*12/100)</f>
        <v>150.984</v>
      </c>
      <c r="F62" s="7">
        <f t="shared" si="64"/>
        <v>150.984</v>
      </c>
      <c r="G62" s="7">
        <f t="shared" si="4"/>
        <v>301.968</v>
      </c>
    </row>
    <row r="63">
      <c r="A63" s="8">
        <f t="shared" si="5"/>
        <v>62</v>
      </c>
      <c r="B63" s="55" t="s">
        <v>432</v>
      </c>
      <c r="C63" s="3">
        <v>3484.0</v>
      </c>
      <c r="D63" s="7">
        <f t="shared" si="2"/>
        <v>2090.4</v>
      </c>
      <c r="E63" s="7">
        <f t="shared" ref="E63:F63" si="65">if($D63&lt;15000,$D63*12/100,15000*12/100)</f>
        <v>250.848</v>
      </c>
      <c r="F63" s="7">
        <f t="shared" si="65"/>
        <v>250.848</v>
      </c>
      <c r="G63" s="7">
        <f t="shared" si="4"/>
        <v>501.696</v>
      </c>
    </row>
    <row r="64">
      <c r="A64" s="8">
        <f t="shared" si="5"/>
        <v>63</v>
      </c>
      <c r="B64" s="55" t="s">
        <v>433</v>
      </c>
      <c r="C64" s="3">
        <v>1452.0</v>
      </c>
      <c r="D64" s="7">
        <f t="shared" si="2"/>
        <v>871.2</v>
      </c>
      <c r="E64" s="7">
        <f t="shared" ref="E64:F64" si="66">if($D64&lt;15000,$D64*12/100,15000*12/100)</f>
        <v>104.544</v>
      </c>
      <c r="F64" s="7">
        <f t="shared" si="66"/>
        <v>104.544</v>
      </c>
      <c r="G64" s="7">
        <f t="shared" si="4"/>
        <v>209.088</v>
      </c>
    </row>
    <row r="65">
      <c r="A65" s="8">
        <f t="shared" si="5"/>
        <v>64</v>
      </c>
      <c r="B65" s="55" t="s">
        <v>434</v>
      </c>
      <c r="C65" s="3">
        <v>14806.0</v>
      </c>
      <c r="D65" s="7">
        <f t="shared" si="2"/>
        <v>8883.6</v>
      </c>
      <c r="E65" s="7">
        <f t="shared" ref="E65:F65" si="67">if($D65&lt;15000,$D65*12/100,15000*12/100)</f>
        <v>1066.032</v>
      </c>
      <c r="F65" s="7">
        <f t="shared" si="67"/>
        <v>1066.032</v>
      </c>
      <c r="G65" s="7">
        <f t="shared" si="4"/>
        <v>2132.064</v>
      </c>
    </row>
    <row r="66">
      <c r="A66" s="8">
        <f t="shared" si="5"/>
        <v>65</v>
      </c>
      <c r="B66" s="55" t="s">
        <v>204</v>
      </c>
      <c r="C66" s="3">
        <v>32355.0</v>
      </c>
      <c r="D66" s="7">
        <f t="shared" si="2"/>
        <v>19413</v>
      </c>
      <c r="E66" s="7">
        <f t="shared" ref="E66:F66" si="68">if($D66&lt;15000,$D66*12/100,15000*12/100)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55" t="s">
        <v>282</v>
      </c>
      <c r="C67" s="3">
        <v>9000.0</v>
      </c>
      <c r="D67" s="7">
        <f t="shared" si="2"/>
        <v>5400</v>
      </c>
      <c r="E67" s="7">
        <f t="shared" ref="E67:F67" si="69">if($D67&lt;15000,$D67*12/100,15000*12/100)</f>
        <v>648</v>
      </c>
      <c r="F67" s="7">
        <f t="shared" si="69"/>
        <v>648</v>
      </c>
      <c r="G67" s="7">
        <f t="shared" si="4"/>
        <v>1296</v>
      </c>
    </row>
    <row r="68">
      <c r="A68" s="8">
        <f t="shared" si="5"/>
        <v>67</v>
      </c>
      <c r="B68" s="55" t="s">
        <v>283</v>
      </c>
      <c r="C68" s="3">
        <v>10000.0</v>
      </c>
      <c r="D68" s="7">
        <f t="shared" si="2"/>
        <v>6000</v>
      </c>
      <c r="E68" s="7">
        <f t="shared" ref="E68:F68" si="70">if($D68&lt;15000,$D68*12/100,15000*12/100)</f>
        <v>720</v>
      </c>
      <c r="F68" s="7">
        <f t="shared" si="70"/>
        <v>720</v>
      </c>
      <c r="G68" s="7">
        <f t="shared" si="4"/>
        <v>1440</v>
      </c>
    </row>
    <row r="69">
      <c r="A69" s="8">
        <f t="shared" si="5"/>
        <v>68</v>
      </c>
      <c r="B69" s="55" t="s">
        <v>268</v>
      </c>
      <c r="C69" s="3">
        <v>7000.0</v>
      </c>
      <c r="D69" s="7">
        <f t="shared" si="2"/>
        <v>4200</v>
      </c>
      <c r="E69" s="7">
        <f t="shared" ref="E69:F69" si="71">if($D69&lt;15000,$D69*12/100,15000*12/100)</f>
        <v>504</v>
      </c>
      <c r="F69" s="7">
        <f t="shared" si="71"/>
        <v>504</v>
      </c>
      <c r="G69" s="7">
        <f t="shared" si="4"/>
        <v>1008</v>
      </c>
    </row>
    <row r="70">
      <c r="A70" s="8">
        <f t="shared" si="5"/>
        <v>69</v>
      </c>
      <c r="B70" s="55" t="s">
        <v>435</v>
      </c>
      <c r="C70" s="3">
        <v>8000.0</v>
      </c>
      <c r="D70" s="7">
        <f t="shared" si="2"/>
        <v>4800</v>
      </c>
      <c r="E70" s="7">
        <f t="shared" ref="E70:F70" si="72">if($D70&lt;15000,$D70*12/100,15000*12/100)</f>
        <v>576</v>
      </c>
      <c r="F70" s="7">
        <f t="shared" si="72"/>
        <v>576</v>
      </c>
      <c r="G70" s="7">
        <f t="shared" si="4"/>
        <v>1152</v>
      </c>
    </row>
    <row r="71">
      <c r="A71" s="8">
        <f t="shared" si="5"/>
        <v>70</v>
      </c>
      <c r="B71" s="55" t="s">
        <v>285</v>
      </c>
      <c r="C71" s="3">
        <v>9000.0</v>
      </c>
      <c r="D71" s="7">
        <f t="shared" si="2"/>
        <v>5400</v>
      </c>
      <c r="E71" s="7">
        <f t="shared" ref="E71:F71" si="73">if($D71&lt;15000,$D71*12/100,15000*12/100)</f>
        <v>648</v>
      </c>
      <c r="F71" s="7">
        <f t="shared" si="73"/>
        <v>648</v>
      </c>
      <c r="G71" s="7">
        <f t="shared" si="4"/>
        <v>1296</v>
      </c>
    </row>
    <row r="72">
      <c r="A72" s="8">
        <f t="shared" si="5"/>
        <v>71</v>
      </c>
      <c r="B72" s="55" t="s">
        <v>271</v>
      </c>
      <c r="C72" s="3">
        <v>20000.0</v>
      </c>
      <c r="D72" s="7">
        <f t="shared" si="2"/>
        <v>12000</v>
      </c>
      <c r="E72" s="7">
        <f t="shared" ref="E72:F72" si="74">if($D72&lt;15000,$D72*12/100,15000*12/100)</f>
        <v>1440</v>
      </c>
      <c r="F72" s="7">
        <f t="shared" si="74"/>
        <v>1440</v>
      </c>
      <c r="G72" s="7">
        <f t="shared" si="4"/>
        <v>2880</v>
      </c>
    </row>
    <row r="73">
      <c r="A73" s="8">
        <f t="shared" si="5"/>
        <v>72</v>
      </c>
      <c r="B73" s="55" t="s">
        <v>383</v>
      </c>
      <c r="C73" s="3">
        <v>21887.0</v>
      </c>
      <c r="D73" s="7">
        <f t="shared" si="2"/>
        <v>13132.2</v>
      </c>
      <c r="E73" s="7">
        <f t="shared" ref="E73:F73" si="75">if($D73&lt;15000,$D73*12/100,15000*12/100)</f>
        <v>1575.864</v>
      </c>
      <c r="F73" s="7">
        <f t="shared" si="75"/>
        <v>1575.864</v>
      </c>
      <c r="G73" s="7">
        <f t="shared" si="4"/>
        <v>3151.728</v>
      </c>
    </row>
    <row r="74">
      <c r="A74" s="8">
        <f t="shared" si="5"/>
        <v>73</v>
      </c>
      <c r="B74" s="55" t="s">
        <v>385</v>
      </c>
      <c r="C74" s="3">
        <v>11613.0</v>
      </c>
      <c r="D74" s="7">
        <f t="shared" si="2"/>
        <v>6967.8</v>
      </c>
      <c r="E74" s="7">
        <f t="shared" ref="E74:F74" si="76">if($D74&lt;15000,$D74*12/100,15000*12/100)</f>
        <v>836.136</v>
      </c>
      <c r="F74" s="7">
        <f t="shared" si="76"/>
        <v>836.136</v>
      </c>
      <c r="G74" s="7">
        <f t="shared" si="4"/>
        <v>1672.272</v>
      </c>
    </row>
    <row r="75">
      <c r="A75" s="8">
        <f t="shared" si="5"/>
        <v>74</v>
      </c>
      <c r="B75" s="55" t="s">
        <v>384</v>
      </c>
      <c r="C75" s="3">
        <v>26000.0</v>
      </c>
      <c r="D75" s="7">
        <f t="shared" si="2"/>
        <v>15600</v>
      </c>
      <c r="E75" s="7">
        <f t="shared" ref="E75:F75" si="77">if($D75&lt;15000,$D75*12/100,15000*12/100)</f>
        <v>1800</v>
      </c>
      <c r="F75" s="7">
        <f t="shared" si="77"/>
        <v>1800</v>
      </c>
      <c r="G75" s="7">
        <f t="shared" si="4"/>
        <v>3600</v>
      </c>
    </row>
    <row r="76">
      <c r="A76" s="8">
        <f t="shared" si="5"/>
        <v>75</v>
      </c>
      <c r="B76" s="55" t="s">
        <v>436</v>
      </c>
      <c r="C76" s="3">
        <v>18710.0</v>
      </c>
      <c r="D76" s="7">
        <f t="shared" si="2"/>
        <v>11226</v>
      </c>
      <c r="E76" s="7">
        <f t="shared" ref="E76:F76" si="78">if($D76&lt;15000,$D76*12/100,15000*12/100)</f>
        <v>1347.12</v>
      </c>
      <c r="F76" s="7">
        <f t="shared" si="78"/>
        <v>1347.12</v>
      </c>
      <c r="G76" s="7">
        <f t="shared" si="4"/>
        <v>2694.24</v>
      </c>
    </row>
    <row r="77">
      <c r="A77" s="8">
        <f t="shared" si="5"/>
        <v>76</v>
      </c>
      <c r="B77" s="55" t="s">
        <v>282</v>
      </c>
      <c r="C77" s="3">
        <v>20000.0</v>
      </c>
      <c r="D77" s="7">
        <f t="shared" si="2"/>
        <v>12000</v>
      </c>
      <c r="E77" s="7">
        <f t="shared" ref="E77:F77" si="79">if($D77&lt;15000,$D77*12/100,15000*12/100)</f>
        <v>1440</v>
      </c>
      <c r="F77" s="7">
        <f t="shared" si="79"/>
        <v>1440</v>
      </c>
      <c r="G77" s="7">
        <f t="shared" si="4"/>
        <v>2880</v>
      </c>
    </row>
    <row r="78">
      <c r="A78" s="8">
        <f t="shared" si="5"/>
        <v>77</v>
      </c>
      <c r="B78" s="55" t="s">
        <v>386</v>
      </c>
      <c r="C78" s="3">
        <v>22581.0</v>
      </c>
      <c r="D78" s="7">
        <f t="shared" si="2"/>
        <v>13548.6</v>
      </c>
      <c r="E78" s="7">
        <f t="shared" ref="E78:F78" si="80">if($D78&lt;15000,$D78*12/100,15000*12/100)</f>
        <v>1625.832</v>
      </c>
      <c r="F78" s="7">
        <f t="shared" si="80"/>
        <v>1625.832</v>
      </c>
      <c r="G78" s="7">
        <f t="shared" si="4"/>
        <v>3251.664</v>
      </c>
    </row>
    <row r="79">
      <c r="A79" s="8">
        <f t="shared" si="5"/>
        <v>78</v>
      </c>
      <c r="B79" s="55" t="s">
        <v>261</v>
      </c>
      <c r="C79" s="3">
        <v>14032.0</v>
      </c>
      <c r="D79" s="7">
        <f t="shared" si="2"/>
        <v>8419.2</v>
      </c>
      <c r="E79" s="7">
        <f t="shared" ref="E79:F79" si="81">if($D79&lt;15000,$D79*12/100,15000*12/100)</f>
        <v>1010.304</v>
      </c>
      <c r="F79" s="7">
        <f t="shared" si="81"/>
        <v>1010.304</v>
      </c>
      <c r="G79" s="7">
        <f t="shared" si="4"/>
        <v>2020.608</v>
      </c>
    </row>
    <row r="80">
      <c r="A80" s="8">
        <f t="shared" si="5"/>
        <v>79</v>
      </c>
      <c r="B80" s="55" t="s">
        <v>262</v>
      </c>
      <c r="C80" s="3">
        <v>15000.0</v>
      </c>
      <c r="D80" s="7">
        <f t="shared" si="2"/>
        <v>9000</v>
      </c>
      <c r="E80" s="7">
        <f t="shared" ref="E80:F80" si="82">if($D80&lt;15000,$D80*12/100,15000*12/100)</f>
        <v>1080</v>
      </c>
      <c r="F80" s="7">
        <f t="shared" si="82"/>
        <v>1080</v>
      </c>
      <c r="G80" s="7">
        <f t="shared" si="4"/>
        <v>2160</v>
      </c>
    </row>
    <row r="81">
      <c r="A81" s="8">
        <f t="shared" si="5"/>
        <v>80</v>
      </c>
      <c r="B81" s="55" t="s">
        <v>263</v>
      </c>
      <c r="C81" s="3">
        <v>13790.0</v>
      </c>
      <c r="D81" s="7">
        <f t="shared" si="2"/>
        <v>8274</v>
      </c>
      <c r="E81" s="7">
        <f t="shared" ref="E81:F81" si="83">if($D81&lt;15000,$D81*12/100,15000*12/100)</f>
        <v>992.88</v>
      </c>
      <c r="F81" s="7">
        <f t="shared" si="83"/>
        <v>992.88</v>
      </c>
      <c r="G81" s="7">
        <f t="shared" si="4"/>
        <v>1985.76</v>
      </c>
    </row>
    <row r="82">
      <c r="A82" s="8">
        <f t="shared" si="5"/>
        <v>81</v>
      </c>
      <c r="B82" s="55" t="s">
        <v>389</v>
      </c>
      <c r="C82" s="3">
        <v>20000.0</v>
      </c>
      <c r="D82" s="7">
        <f t="shared" si="2"/>
        <v>12000</v>
      </c>
      <c r="E82" s="7">
        <f t="shared" ref="E82:F82" si="84">if($D82&lt;15000,$D82*12/100,15000*12/100)</f>
        <v>1440</v>
      </c>
      <c r="F82" s="7">
        <f t="shared" si="84"/>
        <v>1440</v>
      </c>
      <c r="G82" s="7">
        <f t="shared" si="4"/>
        <v>2880</v>
      </c>
    </row>
    <row r="83">
      <c r="A83" s="8">
        <f t="shared" si="5"/>
        <v>82</v>
      </c>
      <c r="B83" s="55" t="s">
        <v>388</v>
      </c>
      <c r="C83" s="3">
        <v>23387.0</v>
      </c>
      <c r="D83" s="7">
        <f t="shared" si="2"/>
        <v>14032.2</v>
      </c>
      <c r="E83" s="7">
        <f t="shared" ref="E83:F83" si="85">if($D83&lt;15000,$D83*12/100,15000*12/100)</f>
        <v>1683.864</v>
      </c>
      <c r="F83" s="7">
        <f t="shared" si="85"/>
        <v>1683.864</v>
      </c>
      <c r="G83" s="7">
        <f t="shared" si="4"/>
        <v>3367.728</v>
      </c>
    </row>
    <row r="84">
      <c r="A84" s="8">
        <f t="shared" si="5"/>
        <v>83</v>
      </c>
      <c r="B84" s="55" t="s">
        <v>437</v>
      </c>
      <c r="C84" s="3">
        <v>21371.0</v>
      </c>
      <c r="D84" s="7">
        <f t="shared" si="2"/>
        <v>12822.6</v>
      </c>
      <c r="E84" s="7">
        <f t="shared" ref="E84:F84" si="86">if($D84&lt;15000,$D84*12/100,15000*12/100)</f>
        <v>1538.712</v>
      </c>
      <c r="F84" s="7">
        <f t="shared" si="86"/>
        <v>1538.712</v>
      </c>
      <c r="G84" s="7">
        <f t="shared" si="4"/>
        <v>3077.424</v>
      </c>
    </row>
    <row r="85">
      <c r="A85" s="8">
        <f t="shared" si="5"/>
        <v>84</v>
      </c>
      <c r="B85" s="55" t="s">
        <v>438</v>
      </c>
      <c r="C85" s="3">
        <v>6742.0</v>
      </c>
      <c r="D85" s="7">
        <f t="shared" si="2"/>
        <v>4045.2</v>
      </c>
      <c r="E85" s="7">
        <f t="shared" ref="E85:F85" si="87">if($D85&lt;15000,$D85*12/100,15000*12/100)</f>
        <v>485.424</v>
      </c>
      <c r="F85" s="7">
        <f t="shared" si="87"/>
        <v>485.424</v>
      </c>
      <c r="G85" s="7">
        <f t="shared" si="4"/>
        <v>970.848</v>
      </c>
    </row>
    <row r="86">
      <c r="A86" s="8">
        <f t="shared" si="5"/>
        <v>85</v>
      </c>
      <c r="B86" s="55" t="s">
        <v>439</v>
      </c>
      <c r="C86" s="3">
        <v>8871.0</v>
      </c>
      <c r="D86" s="7">
        <f t="shared" si="2"/>
        <v>5322.6</v>
      </c>
      <c r="E86" s="7">
        <f t="shared" ref="E86:F86" si="88">if($D86&lt;15000,$D86*12/100,15000*12/100)</f>
        <v>638.712</v>
      </c>
      <c r="F86" s="7">
        <f t="shared" si="88"/>
        <v>638.712</v>
      </c>
      <c r="G86" s="7">
        <f t="shared" si="4"/>
        <v>1277.424</v>
      </c>
    </row>
    <row r="87">
      <c r="A87" s="8">
        <f t="shared" si="5"/>
        <v>86</v>
      </c>
      <c r="B87" s="55" t="s">
        <v>440</v>
      </c>
      <c r="C87" s="3">
        <v>25000.0</v>
      </c>
      <c r="D87" s="7">
        <f t="shared" si="2"/>
        <v>15000</v>
      </c>
      <c r="E87" s="7">
        <f t="shared" ref="E87:F87" si="89">if($D87&lt;15000,$D87*12/100,15000*12/100)</f>
        <v>1800</v>
      </c>
      <c r="F87" s="7">
        <f t="shared" si="89"/>
        <v>1800</v>
      </c>
      <c r="G87" s="7">
        <f t="shared" si="4"/>
        <v>3600</v>
      </c>
    </row>
    <row r="88">
      <c r="A88" s="8">
        <f t="shared" si="5"/>
        <v>87</v>
      </c>
      <c r="B88" s="55" t="s">
        <v>441</v>
      </c>
      <c r="C88" s="3">
        <v>22984.0</v>
      </c>
      <c r="D88" s="7">
        <f t="shared" si="2"/>
        <v>13790.4</v>
      </c>
      <c r="E88" s="7">
        <f t="shared" ref="E88:F88" si="90">if($D88&lt;15000,$D88*12/100,15000*12/100)</f>
        <v>1654.848</v>
      </c>
      <c r="F88" s="7">
        <f t="shared" si="90"/>
        <v>1654.848</v>
      </c>
      <c r="G88" s="7">
        <f t="shared" si="4"/>
        <v>3309.696</v>
      </c>
    </row>
    <row r="89">
      <c r="A89" s="9" t="s">
        <v>34</v>
      </c>
      <c r="B89" s="10"/>
      <c r="C89" s="11">
        <f t="shared" ref="C89:G89" si="91">sum(C2:C88)</f>
        <v>1869613</v>
      </c>
      <c r="D89" s="11">
        <f t="shared" si="91"/>
        <v>1121767.8</v>
      </c>
      <c r="E89" s="11">
        <f t="shared" si="91"/>
        <v>112566.168</v>
      </c>
      <c r="F89" s="11">
        <f t="shared" si="91"/>
        <v>112566.168</v>
      </c>
      <c r="G89" s="11">
        <f t="shared" si="91"/>
        <v>225132.336</v>
      </c>
    </row>
  </sheetData>
  <mergeCells count="1">
    <mergeCell ref="A89:B89"/>
  </mergeCells>
  <hyperlinks>
    <hyperlink r:id="rId1" ref="A1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53" t="s">
        <v>381</v>
      </c>
      <c r="C2" s="3">
        <v>81000.0</v>
      </c>
      <c r="D2" s="7">
        <f t="shared" ref="D2:D91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1" si="4">E2+F2</f>
        <v>3600</v>
      </c>
    </row>
    <row r="3">
      <c r="A3" s="8">
        <f t="shared" ref="A3:A91" si="5">A2+1</f>
        <v>2</v>
      </c>
      <c r="B3" s="53" t="s">
        <v>195</v>
      </c>
      <c r="C3" s="3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53" t="s">
        <v>203</v>
      </c>
      <c r="C4" s="3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53" t="s">
        <v>200</v>
      </c>
      <c r="C5" s="3">
        <v>37000.0</v>
      </c>
      <c r="D5" s="7">
        <f t="shared" si="2"/>
        <v>22200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53" t="s">
        <v>382</v>
      </c>
      <c r="C6" s="3">
        <v>24000.0</v>
      </c>
      <c r="D6" s="7">
        <f t="shared" si="2"/>
        <v>14400</v>
      </c>
      <c r="E6" s="7">
        <f t="shared" ref="E6:F6" si="8">if($D6&lt;15000,$D6*12/100,15000*12/100)</f>
        <v>1728</v>
      </c>
      <c r="F6" s="7">
        <f t="shared" si="8"/>
        <v>1728</v>
      </c>
      <c r="G6" s="7">
        <f t="shared" si="4"/>
        <v>3456</v>
      </c>
    </row>
    <row r="7">
      <c r="A7" s="8">
        <f t="shared" si="5"/>
        <v>6</v>
      </c>
      <c r="B7" s="53" t="s">
        <v>231</v>
      </c>
      <c r="C7" s="3">
        <v>27000.0</v>
      </c>
      <c r="D7" s="7">
        <f t="shared" si="2"/>
        <v>16200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53" t="s">
        <v>236</v>
      </c>
      <c r="C8" s="3">
        <v>19000.0</v>
      </c>
      <c r="D8" s="7">
        <f t="shared" si="2"/>
        <v>11400</v>
      </c>
      <c r="E8" s="7">
        <f t="shared" ref="E8:F8" si="10">if($D8&lt;15000,$D8*12/100,15000*12/100)</f>
        <v>1368</v>
      </c>
      <c r="F8" s="7">
        <f t="shared" si="10"/>
        <v>1368</v>
      </c>
      <c r="G8" s="7">
        <f t="shared" si="4"/>
        <v>2736</v>
      </c>
    </row>
    <row r="9">
      <c r="A9" s="8">
        <f t="shared" si="5"/>
        <v>8</v>
      </c>
      <c r="B9" s="53" t="s">
        <v>221</v>
      </c>
      <c r="C9" s="3">
        <v>24000.0</v>
      </c>
      <c r="D9" s="7">
        <f t="shared" si="2"/>
        <v>14400</v>
      </c>
      <c r="E9" s="7">
        <f t="shared" ref="E9:F9" si="11">if($D9&lt;15000,$D9*12/100,15000*12/100)</f>
        <v>1728</v>
      </c>
      <c r="F9" s="7">
        <f t="shared" si="11"/>
        <v>1728</v>
      </c>
      <c r="G9" s="7">
        <f t="shared" si="4"/>
        <v>3456</v>
      </c>
    </row>
    <row r="10">
      <c r="A10" s="8">
        <f t="shared" si="5"/>
        <v>9</v>
      </c>
      <c r="B10" s="53" t="s">
        <v>201</v>
      </c>
      <c r="C10" s="3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53" t="s">
        <v>213</v>
      </c>
      <c r="C11" s="3">
        <v>24000.0</v>
      </c>
      <c r="D11" s="7">
        <f t="shared" si="2"/>
        <v>14400</v>
      </c>
      <c r="E11" s="7">
        <f t="shared" ref="E11:F11" si="13">if($D11&lt;15000,$D11*12/100,15000*12/100)</f>
        <v>1728</v>
      </c>
      <c r="F11" s="7">
        <f t="shared" si="13"/>
        <v>1728</v>
      </c>
      <c r="G11" s="7">
        <f t="shared" si="4"/>
        <v>3456</v>
      </c>
    </row>
    <row r="12">
      <c r="A12" s="8">
        <f t="shared" si="5"/>
        <v>11</v>
      </c>
      <c r="B12" s="53" t="s">
        <v>208</v>
      </c>
      <c r="C12" s="3">
        <v>32000.0</v>
      </c>
      <c r="D12" s="7">
        <f t="shared" si="2"/>
        <v>19200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53" t="s">
        <v>248</v>
      </c>
      <c r="C13" s="3">
        <v>30000.0</v>
      </c>
      <c r="D13" s="7">
        <f t="shared" si="2"/>
        <v>18000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53" t="s">
        <v>202</v>
      </c>
      <c r="C14" s="3">
        <v>27000.0</v>
      </c>
      <c r="D14" s="7">
        <f t="shared" si="2"/>
        <v>16200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53" t="s">
        <v>209</v>
      </c>
      <c r="C15" s="3">
        <v>28000.0</v>
      </c>
      <c r="D15" s="7">
        <f t="shared" si="2"/>
        <v>16800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53" t="s">
        <v>214</v>
      </c>
      <c r="C16" s="3">
        <v>24000.0</v>
      </c>
      <c r="D16" s="7">
        <f t="shared" si="2"/>
        <v>14400</v>
      </c>
      <c r="E16" s="7">
        <f t="shared" ref="E16:F16" si="18">if($D16&lt;15000,$D16*12/100,15000*12/100)</f>
        <v>1728</v>
      </c>
      <c r="F16" s="7">
        <f t="shared" si="18"/>
        <v>1728</v>
      </c>
      <c r="G16" s="7">
        <f t="shared" si="4"/>
        <v>3456</v>
      </c>
    </row>
    <row r="17">
      <c r="A17" s="8">
        <f t="shared" si="5"/>
        <v>16</v>
      </c>
      <c r="B17" s="53" t="s">
        <v>206</v>
      </c>
      <c r="C17" s="3">
        <v>27000.0</v>
      </c>
      <c r="D17" s="7">
        <f t="shared" si="2"/>
        <v>16200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53" t="s">
        <v>414</v>
      </c>
      <c r="C18" s="3">
        <v>23000.0</v>
      </c>
      <c r="D18" s="7">
        <f t="shared" si="2"/>
        <v>13800</v>
      </c>
      <c r="E18" s="7">
        <f t="shared" ref="E18:F18" si="20">if($D18&lt;15000,$D18*12/100,15000*12/100)</f>
        <v>1656</v>
      </c>
      <c r="F18" s="7">
        <f t="shared" si="20"/>
        <v>1656</v>
      </c>
      <c r="G18" s="7">
        <f t="shared" si="4"/>
        <v>3312</v>
      </c>
    </row>
    <row r="19">
      <c r="A19" s="8">
        <f t="shared" si="5"/>
        <v>18</v>
      </c>
      <c r="B19" s="53" t="s">
        <v>210</v>
      </c>
      <c r="C19" s="3">
        <v>31000.0</v>
      </c>
      <c r="D19" s="7">
        <f t="shared" si="2"/>
        <v>18600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65" t="s">
        <v>442</v>
      </c>
      <c r="C20" s="3">
        <v>32000.0</v>
      </c>
      <c r="D20" s="7">
        <f t="shared" si="2"/>
        <v>19200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53" t="s">
        <v>212</v>
      </c>
      <c r="C21" s="3">
        <v>27000.0</v>
      </c>
      <c r="D21" s="7">
        <f t="shared" si="2"/>
        <v>16200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53" t="s">
        <v>252</v>
      </c>
      <c r="C22" s="3">
        <v>23000.0</v>
      </c>
      <c r="D22" s="7">
        <f t="shared" si="2"/>
        <v>13800</v>
      </c>
      <c r="E22" s="7">
        <f t="shared" ref="E22:F22" si="24">if($D22&lt;15000,$D22*12/100,15000*12/100)</f>
        <v>1656</v>
      </c>
      <c r="F22" s="7">
        <f t="shared" si="24"/>
        <v>1656</v>
      </c>
      <c r="G22" s="7">
        <f t="shared" si="4"/>
        <v>3312</v>
      </c>
    </row>
    <row r="23">
      <c r="A23" s="8">
        <f t="shared" si="5"/>
        <v>22</v>
      </c>
      <c r="B23" s="53" t="s">
        <v>249</v>
      </c>
      <c r="C23" s="3">
        <v>17000.0</v>
      </c>
      <c r="D23" s="7">
        <f t="shared" si="2"/>
        <v>10200</v>
      </c>
      <c r="E23" s="7">
        <f t="shared" ref="E23:F23" si="25">if($D23&lt;15000,$D23*12/100,15000*12/100)</f>
        <v>1224</v>
      </c>
      <c r="F23" s="7">
        <f t="shared" si="25"/>
        <v>1224</v>
      </c>
      <c r="G23" s="7">
        <f t="shared" si="4"/>
        <v>2448</v>
      </c>
    </row>
    <row r="24">
      <c r="A24" s="8">
        <f t="shared" si="5"/>
        <v>23</v>
      </c>
      <c r="B24" s="53" t="s">
        <v>223</v>
      </c>
      <c r="C24" s="3">
        <v>23000.0</v>
      </c>
      <c r="D24" s="7">
        <f t="shared" si="2"/>
        <v>13800</v>
      </c>
      <c r="E24" s="7">
        <f t="shared" ref="E24:F24" si="26">if($D24&lt;15000,$D24*12/100,15000*12/100)</f>
        <v>1656</v>
      </c>
      <c r="F24" s="7">
        <f t="shared" si="26"/>
        <v>1656</v>
      </c>
      <c r="G24" s="7">
        <f t="shared" si="4"/>
        <v>3312</v>
      </c>
    </row>
    <row r="25">
      <c r="A25" s="8">
        <f t="shared" si="5"/>
        <v>24</v>
      </c>
      <c r="B25" s="53" t="s">
        <v>416</v>
      </c>
      <c r="C25" s="3">
        <v>30000.0</v>
      </c>
      <c r="D25" s="7">
        <f t="shared" si="2"/>
        <v>18000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53" t="s">
        <v>417</v>
      </c>
      <c r="C26" s="3">
        <v>25000.0</v>
      </c>
      <c r="D26" s="7">
        <f t="shared" si="2"/>
        <v>15000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53" t="s">
        <v>216</v>
      </c>
      <c r="C27" s="3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53" t="s">
        <v>277</v>
      </c>
      <c r="C28" s="3">
        <v>16000.0</v>
      </c>
      <c r="D28" s="7">
        <f t="shared" si="2"/>
        <v>9600</v>
      </c>
      <c r="E28" s="7">
        <f t="shared" ref="E28:F28" si="30">if($D28&lt;15000,$D28*12/100,15000*12/100)</f>
        <v>1152</v>
      </c>
      <c r="F28" s="7">
        <f t="shared" si="30"/>
        <v>1152</v>
      </c>
      <c r="G28" s="7">
        <f t="shared" si="4"/>
        <v>2304</v>
      </c>
    </row>
    <row r="29">
      <c r="A29" s="8">
        <f t="shared" si="5"/>
        <v>28</v>
      </c>
      <c r="B29" s="53" t="s">
        <v>258</v>
      </c>
      <c r="C29" s="3">
        <v>16000.0</v>
      </c>
      <c r="D29" s="7">
        <f t="shared" si="2"/>
        <v>9600</v>
      </c>
      <c r="E29" s="7">
        <f t="shared" ref="E29:F29" si="31">if($D29&lt;15000,$D29*12/100,15000*12/100)</f>
        <v>1152</v>
      </c>
      <c r="F29" s="7">
        <f t="shared" si="31"/>
        <v>1152</v>
      </c>
      <c r="G29" s="7">
        <f t="shared" si="4"/>
        <v>2304</v>
      </c>
    </row>
    <row r="30">
      <c r="A30" s="8">
        <f t="shared" si="5"/>
        <v>29</v>
      </c>
      <c r="B30" s="53" t="s">
        <v>279</v>
      </c>
      <c r="C30" s="3">
        <v>24000.0</v>
      </c>
      <c r="D30" s="7">
        <f t="shared" si="2"/>
        <v>14400</v>
      </c>
      <c r="E30" s="7">
        <f t="shared" ref="E30:F30" si="32">if($D30&lt;15000,$D30*12/100,15000*12/100)</f>
        <v>1728</v>
      </c>
      <c r="F30" s="7">
        <f t="shared" si="32"/>
        <v>1728</v>
      </c>
      <c r="G30" s="7">
        <f t="shared" si="4"/>
        <v>3456</v>
      </c>
    </row>
    <row r="31">
      <c r="A31" s="8">
        <f t="shared" si="5"/>
        <v>30</v>
      </c>
      <c r="B31" s="53" t="s">
        <v>217</v>
      </c>
      <c r="C31" s="3">
        <v>22000.0</v>
      </c>
      <c r="D31" s="7">
        <f t="shared" si="2"/>
        <v>13200</v>
      </c>
      <c r="E31" s="7">
        <f t="shared" ref="E31:F31" si="33">if($D31&lt;15000,$D31*12/100,15000*12/100)</f>
        <v>1584</v>
      </c>
      <c r="F31" s="7">
        <f t="shared" si="33"/>
        <v>1584</v>
      </c>
      <c r="G31" s="7">
        <f t="shared" si="4"/>
        <v>3168</v>
      </c>
    </row>
    <row r="32">
      <c r="A32" s="8">
        <f t="shared" si="5"/>
        <v>31</v>
      </c>
      <c r="B32" s="53" t="s">
        <v>245</v>
      </c>
      <c r="C32" s="3">
        <v>15000.0</v>
      </c>
      <c r="D32" s="7">
        <f t="shared" si="2"/>
        <v>9000</v>
      </c>
      <c r="E32" s="7">
        <f t="shared" ref="E32:F32" si="34">if($D32&lt;15000,$D32*12/100,15000*12/100)</f>
        <v>1080</v>
      </c>
      <c r="F32" s="7">
        <f t="shared" si="34"/>
        <v>1080</v>
      </c>
      <c r="G32" s="7">
        <f t="shared" si="4"/>
        <v>2160</v>
      </c>
    </row>
    <row r="33">
      <c r="A33" s="8">
        <f t="shared" si="5"/>
        <v>32</v>
      </c>
      <c r="B33" s="53" t="s">
        <v>244</v>
      </c>
      <c r="C33" s="3">
        <v>15000.0</v>
      </c>
      <c r="D33" s="7">
        <f t="shared" si="2"/>
        <v>9000</v>
      </c>
      <c r="E33" s="7">
        <f t="shared" ref="E33:F33" si="35">if($D33&lt;15000,$D33*12/100,15000*12/100)</f>
        <v>1080</v>
      </c>
      <c r="F33" s="7">
        <f t="shared" si="35"/>
        <v>1080</v>
      </c>
      <c r="G33" s="7">
        <f t="shared" si="4"/>
        <v>2160</v>
      </c>
    </row>
    <row r="34">
      <c r="A34" s="8">
        <f t="shared" si="5"/>
        <v>33</v>
      </c>
      <c r="B34" s="53" t="s">
        <v>228</v>
      </c>
      <c r="C34" s="3">
        <v>15000.0</v>
      </c>
      <c r="D34" s="7">
        <f t="shared" si="2"/>
        <v>9000</v>
      </c>
      <c r="E34" s="7">
        <f t="shared" ref="E34:F34" si="36">if($D34&lt;15000,$D34*12/100,15000*12/100)</f>
        <v>1080</v>
      </c>
      <c r="F34" s="7">
        <f t="shared" si="36"/>
        <v>1080</v>
      </c>
      <c r="G34" s="7">
        <f t="shared" si="4"/>
        <v>2160</v>
      </c>
    </row>
    <row r="35">
      <c r="A35" s="8">
        <f t="shared" si="5"/>
        <v>34</v>
      </c>
      <c r="B35" s="53" t="s">
        <v>243</v>
      </c>
      <c r="C35" s="3">
        <v>16000.0</v>
      </c>
      <c r="D35" s="7">
        <f t="shared" si="2"/>
        <v>9600</v>
      </c>
      <c r="E35" s="7">
        <f t="shared" ref="E35:F35" si="37">if($D35&lt;15000,$D35*12/100,15000*12/100)</f>
        <v>1152</v>
      </c>
      <c r="F35" s="7">
        <f t="shared" si="37"/>
        <v>1152</v>
      </c>
      <c r="G35" s="7">
        <f t="shared" si="4"/>
        <v>2304</v>
      </c>
    </row>
    <row r="36">
      <c r="A36" s="8">
        <f t="shared" si="5"/>
        <v>35</v>
      </c>
      <c r="B36" s="53" t="s">
        <v>227</v>
      </c>
      <c r="C36" s="3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</row>
    <row r="37">
      <c r="A37" s="8">
        <f t="shared" si="5"/>
        <v>36</v>
      </c>
      <c r="B37" s="53" t="s">
        <v>377</v>
      </c>
      <c r="C37" s="20">
        <v>19000.0</v>
      </c>
      <c r="D37" s="7">
        <f t="shared" si="2"/>
        <v>11400</v>
      </c>
      <c r="E37" s="7">
        <f t="shared" ref="E37:F37" si="39">if($D37&lt;15000,$D37*12/100,15000*12/100)</f>
        <v>1368</v>
      </c>
      <c r="F37" s="7">
        <f t="shared" si="39"/>
        <v>1368</v>
      </c>
      <c r="G37" s="7">
        <f t="shared" si="4"/>
        <v>2736</v>
      </c>
    </row>
    <row r="38">
      <c r="A38" s="8">
        <f t="shared" si="5"/>
        <v>37</v>
      </c>
      <c r="B38" s="55" t="s">
        <v>274</v>
      </c>
      <c r="C38" s="20">
        <v>20000.0</v>
      </c>
      <c r="D38" s="7">
        <f t="shared" si="2"/>
        <v>12000</v>
      </c>
      <c r="E38" s="7">
        <f t="shared" ref="E38:F38" si="40">if($D38&lt;15000,$D38*12/100,15000*12/100)</f>
        <v>1440</v>
      </c>
      <c r="F38" s="7">
        <f t="shared" si="40"/>
        <v>1440</v>
      </c>
      <c r="G38" s="7">
        <f t="shared" si="4"/>
        <v>2880</v>
      </c>
    </row>
    <row r="39">
      <c r="A39" s="8">
        <f t="shared" si="5"/>
        <v>38</v>
      </c>
      <c r="B39" s="55" t="s">
        <v>419</v>
      </c>
      <c r="C39" s="20">
        <v>16000.0</v>
      </c>
      <c r="D39" s="7">
        <f t="shared" si="2"/>
        <v>9600</v>
      </c>
      <c r="E39" s="7">
        <f t="shared" ref="E39:F39" si="41">if($D39&lt;15000,$D39*12/100,15000*12/100)</f>
        <v>1152</v>
      </c>
      <c r="F39" s="7">
        <f t="shared" si="41"/>
        <v>1152</v>
      </c>
      <c r="G39" s="7">
        <f t="shared" si="4"/>
        <v>2304</v>
      </c>
    </row>
    <row r="40">
      <c r="A40" s="8">
        <f t="shared" si="5"/>
        <v>39</v>
      </c>
      <c r="B40" s="66" t="s">
        <v>420</v>
      </c>
      <c r="C40" s="20">
        <v>20000.0</v>
      </c>
      <c r="D40" s="7">
        <f t="shared" si="2"/>
        <v>12000</v>
      </c>
      <c r="E40" s="7">
        <f t="shared" ref="E40:F40" si="42">if($D40&lt;15000,$D40*12/100,15000*12/100)</f>
        <v>1440</v>
      </c>
      <c r="F40" s="7">
        <f t="shared" si="42"/>
        <v>1440</v>
      </c>
      <c r="G40" s="7">
        <f t="shared" si="4"/>
        <v>2880</v>
      </c>
    </row>
    <row r="41">
      <c r="A41" s="8">
        <f t="shared" si="5"/>
        <v>40</v>
      </c>
      <c r="B41" s="55" t="s">
        <v>220</v>
      </c>
      <c r="C41" s="20">
        <v>27000.0</v>
      </c>
      <c r="D41" s="7">
        <f t="shared" si="2"/>
        <v>16200</v>
      </c>
      <c r="E41" s="7">
        <f t="shared" ref="E41:F41" si="43">if($D41&lt;15000,$D41*12/100,15000*12/100)</f>
        <v>1800</v>
      </c>
      <c r="F41" s="7">
        <f t="shared" si="43"/>
        <v>1800</v>
      </c>
      <c r="G41" s="7">
        <f t="shared" si="4"/>
        <v>3600</v>
      </c>
    </row>
    <row r="42">
      <c r="A42" s="8">
        <f t="shared" si="5"/>
        <v>41</v>
      </c>
      <c r="B42" s="55" t="s">
        <v>235</v>
      </c>
      <c r="C42" s="20">
        <v>22000.0</v>
      </c>
      <c r="D42" s="7">
        <f t="shared" si="2"/>
        <v>13200</v>
      </c>
      <c r="E42" s="7">
        <f t="shared" ref="E42:F42" si="44">if($D42&lt;15000,$D42*12/100,15000*12/100)</f>
        <v>1584</v>
      </c>
      <c r="F42" s="7">
        <f t="shared" si="44"/>
        <v>1584</v>
      </c>
      <c r="G42" s="7">
        <f t="shared" si="4"/>
        <v>3168</v>
      </c>
    </row>
    <row r="43">
      <c r="A43" s="8">
        <f t="shared" si="5"/>
        <v>42</v>
      </c>
      <c r="B43" s="55" t="s">
        <v>273</v>
      </c>
      <c r="C43" s="20">
        <v>12000.0</v>
      </c>
      <c r="D43" s="7">
        <f t="shared" si="2"/>
        <v>7200</v>
      </c>
      <c r="E43" s="7">
        <f t="shared" ref="E43:F43" si="45">if($D43&lt;15000,$D43*12/100,15000*12/100)</f>
        <v>864</v>
      </c>
      <c r="F43" s="7">
        <f t="shared" si="45"/>
        <v>864</v>
      </c>
      <c r="G43" s="7">
        <f t="shared" si="4"/>
        <v>1728</v>
      </c>
    </row>
    <row r="44">
      <c r="A44" s="8">
        <f t="shared" si="5"/>
        <v>43</v>
      </c>
      <c r="B44" s="55" t="s">
        <v>275</v>
      </c>
      <c r="C44" s="20">
        <v>16000.0</v>
      </c>
      <c r="D44" s="7">
        <f t="shared" si="2"/>
        <v>9600</v>
      </c>
      <c r="E44" s="7">
        <f t="shared" ref="E44:F44" si="46">if($D44&lt;15000,$D44*12/100,15000*12/100)</f>
        <v>1152</v>
      </c>
      <c r="F44" s="7">
        <f t="shared" si="46"/>
        <v>1152</v>
      </c>
      <c r="G44" s="7">
        <f t="shared" si="4"/>
        <v>2304</v>
      </c>
    </row>
    <row r="45">
      <c r="A45" s="8">
        <f t="shared" si="5"/>
        <v>44</v>
      </c>
      <c r="B45" s="55" t="s">
        <v>421</v>
      </c>
      <c r="C45" s="20">
        <v>15000.0</v>
      </c>
      <c r="D45" s="7">
        <f t="shared" si="2"/>
        <v>9000</v>
      </c>
      <c r="E45" s="7">
        <f t="shared" ref="E45:F45" si="47">if($D45&lt;15000,$D45*12/100,15000*12/100)</f>
        <v>1080</v>
      </c>
      <c r="F45" s="7">
        <f t="shared" si="47"/>
        <v>1080</v>
      </c>
      <c r="G45" s="7">
        <f t="shared" si="4"/>
        <v>2160</v>
      </c>
    </row>
    <row r="46">
      <c r="A46" s="8">
        <f t="shared" si="5"/>
        <v>45</v>
      </c>
      <c r="B46" s="55" t="s">
        <v>422</v>
      </c>
      <c r="C46" s="20">
        <v>25000.0</v>
      </c>
      <c r="D46" s="7">
        <f t="shared" si="2"/>
        <v>15000</v>
      </c>
      <c r="E46" s="7">
        <f t="shared" ref="E46:F46" si="48">if($D46&lt;15000,$D46*12/100,15000*12/100)</f>
        <v>1800</v>
      </c>
      <c r="F46" s="7">
        <f t="shared" si="48"/>
        <v>1800</v>
      </c>
      <c r="G46" s="7">
        <f t="shared" si="4"/>
        <v>3600</v>
      </c>
    </row>
    <row r="47">
      <c r="A47" s="8">
        <f t="shared" si="5"/>
        <v>46</v>
      </c>
      <c r="B47" s="55" t="s">
        <v>423</v>
      </c>
      <c r="C47" s="20">
        <v>13000.0</v>
      </c>
      <c r="D47" s="7">
        <f t="shared" si="2"/>
        <v>7800</v>
      </c>
      <c r="E47" s="7">
        <f t="shared" ref="E47:F47" si="49">if($D47&lt;15000,$D47*12/100,15000*12/100)</f>
        <v>936</v>
      </c>
      <c r="F47" s="7">
        <f t="shared" si="49"/>
        <v>936</v>
      </c>
      <c r="G47" s="7">
        <f t="shared" si="4"/>
        <v>1872</v>
      </c>
    </row>
    <row r="48">
      <c r="A48" s="8">
        <f t="shared" si="5"/>
        <v>47</v>
      </c>
      <c r="B48" s="55" t="s">
        <v>443</v>
      </c>
      <c r="C48" s="20">
        <v>15000.0</v>
      </c>
      <c r="D48" s="7">
        <f t="shared" si="2"/>
        <v>9000</v>
      </c>
      <c r="E48" s="7">
        <f t="shared" ref="E48:F48" si="50">if($D48&lt;15000,$D48*12/100,15000*12/100)</f>
        <v>1080</v>
      </c>
      <c r="F48" s="7">
        <f t="shared" si="50"/>
        <v>1080</v>
      </c>
      <c r="G48" s="7">
        <f t="shared" si="4"/>
        <v>2160</v>
      </c>
    </row>
    <row r="49">
      <c r="A49" s="8">
        <f t="shared" si="5"/>
        <v>48</v>
      </c>
      <c r="B49" s="55" t="s">
        <v>425</v>
      </c>
      <c r="C49" s="20">
        <v>22000.0</v>
      </c>
      <c r="D49" s="7">
        <f t="shared" si="2"/>
        <v>13200</v>
      </c>
      <c r="E49" s="7">
        <f t="shared" ref="E49:F49" si="51">if($D49&lt;15000,$D49*12/100,15000*12/100)</f>
        <v>1584</v>
      </c>
      <c r="F49" s="7">
        <f t="shared" si="51"/>
        <v>1584</v>
      </c>
      <c r="G49" s="7">
        <f t="shared" si="4"/>
        <v>3168</v>
      </c>
    </row>
    <row r="50">
      <c r="A50" s="8">
        <f t="shared" si="5"/>
        <v>49</v>
      </c>
      <c r="B50" s="55" t="s">
        <v>426</v>
      </c>
      <c r="C50" s="20">
        <v>22000.0</v>
      </c>
      <c r="D50" s="7">
        <f t="shared" si="2"/>
        <v>13200</v>
      </c>
      <c r="E50" s="7">
        <f t="shared" ref="E50:F50" si="52">if($D50&lt;15000,$D50*12/100,15000*12/100)</f>
        <v>1584</v>
      </c>
      <c r="F50" s="7">
        <f t="shared" si="52"/>
        <v>1584</v>
      </c>
      <c r="G50" s="7">
        <f t="shared" si="4"/>
        <v>3168</v>
      </c>
    </row>
    <row r="51">
      <c r="A51" s="8">
        <f t="shared" si="5"/>
        <v>50</v>
      </c>
      <c r="B51" s="55" t="s">
        <v>444</v>
      </c>
      <c r="C51" s="20">
        <v>17000.0</v>
      </c>
      <c r="D51" s="7">
        <f t="shared" si="2"/>
        <v>10200</v>
      </c>
      <c r="E51" s="7">
        <f t="shared" ref="E51:F51" si="53">if($D51&lt;15000,$D51*12/100,15000*12/100)</f>
        <v>1224</v>
      </c>
      <c r="F51" s="7">
        <f t="shared" si="53"/>
        <v>1224</v>
      </c>
      <c r="G51" s="7">
        <f t="shared" si="4"/>
        <v>2448</v>
      </c>
    </row>
    <row r="52">
      <c r="A52" s="8">
        <f t="shared" si="5"/>
        <v>51</v>
      </c>
      <c r="B52" s="55" t="s">
        <v>427</v>
      </c>
      <c r="C52" s="20">
        <v>16000.0</v>
      </c>
      <c r="D52" s="7">
        <f t="shared" si="2"/>
        <v>9600</v>
      </c>
      <c r="E52" s="7">
        <f t="shared" ref="E52:F52" si="54">if($D52&lt;15000,$D52*12/100,15000*12/100)</f>
        <v>1152</v>
      </c>
      <c r="F52" s="7">
        <f t="shared" si="54"/>
        <v>1152</v>
      </c>
      <c r="G52" s="7">
        <f t="shared" si="4"/>
        <v>2304</v>
      </c>
    </row>
    <row r="53">
      <c r="A53" s="8">
        <f t="shared" si="5"/>
        <v>52</v>
      </c>
      <c r="B53" s="55" t="s">
        <v>428</v>
      </c>
      <c r="C53" s="20">
        <v>31000.0</v>
      </c>
      <c r="D53" s="7">
        <f t="shared" si="2"/>
        <v>18600</v>
      </c>
      <c r="E53" s="7">
        <f t="shared" ref="E53:F53" si="55">if($D53&lt;15000,$D53*12/100,15000*12/100)</f>
        <v>1800</v>
      </c>
      <c r="F53" s="7">
        <f t="shared" si="55"/>
        <v>1800</v>
      </c>
      <c r="G53" s="7">
        <f t="shared" si="4"/>
        <v>3600</v>
      </c>
    </row>
    <row r="54">
      <c r="A54" s="8">
        <f t="shared" si="5"/>
        <v>53</v>
      </c>
      <c r="B54" s="55" t="s">
        <v>429</v>
      </c>
      <c r="C54" s="20">
        <v>70000.0</v>
      </c>
      <c r="D54" s="7">
        <f t="shared" si="2"/>
        <v>42000</v>
      </c>
      <c r="E54" s="7">
        <f t="shared" ref="E54:F54" si="56">if($D54&lt;15000,$D54*12/100,15000*12/100)</f>
        <v>1800</v>
      </c>
      <c r="F54" s="7">
        <f t="shared" si="56"/>
        <v>1800</v>
      </c>
      <c r="G54" s="7">
        <f t="shared" si="4"/>
        <v>3600</v>
      </c>
    </row>
    <row r="55">
      <c r="A55" s="8">
        <f t="shared" si="5"/>
        <v>54</v>
      </c>
      <c r="B55" s="55" t="s">
        <v>430</v>
      </c>
      <c r="C55" s="20">
        <v>18000.0</v>
      </c>
      <c r="D55" s="7">
        <f t="shared" si="2"/>
        <v>10800</v>
      </c>
      <c r="E55" s="7">
        <f t="shared" ref="E55:F55" si="57">if($D55&lt;15000,$D55*12/100,15000*12/100)</f>
        <v>1296</v>
      </c>
      <c r="F55" s="7">
        <f t="shared" si="57"/>
        <v>1296</v>
      </c>
      <c r="G55" s="7">
        <f t="shared" si="4"/>
        <v>2592</v>
      </c>
    </row>
    <row r="56">
      <c r="A56" s="8">
        <f t="shared" si="5"/>
        <v>55</v>
      </c>
      <c r="B56" s="55" t="s">
        <v>431</v>
      </c>
      <c r="C56" s="20">
        <v>13000.0</v>
      </c>
      <c r="D56" s="7">
        <f t="shared" si="2"/>
        <v>7800</v>
      </c>
      <c r="E56" s="7">
        <f t="shared" ref="E56:F56" si="58">if($D56&lt;15000,$D56*12/100,15000*12/100)</f>
        <v>936</v>
      </c>
      <c r="F56" s="7">
        <f t="shared" si="58"/>
        <v>936</v>
      </c>
      <c r="G56" s="7">
        <f t="shared" si="4"/>
        <v>1872</v>
      </c>
    </row>
    <row r="57">
      <c r="A57" s="8">
        <f t="shared" si="5"/>
        <v>56</v>
      </c>
      <c r="B57" s="55" t="s">
        <v>432</v>
      </c>
      <c r="C57" s="20">
        <v>18000.0</v>
      </c>
      <c r="D57" s="7">
        <f t="shared" si="2"/>
        <v>10800</v>
      </c>
      <c r="E57" s="7">
        <f t="shared" ref="E57:F57" si="59">if($D57&lt;15000,$D57*12/100,15000*12/100)</f>
        <v>1296</v>
      </c>
      <c r="F57" s="7">
        <f t="shared" si="59"/>
        <v>1296</v>
      </c>
      <c r="G57" s="7">
        <f t="shared" si="4"/>
        <v>2592</v>
      </c>
    </row>
    <row r="58">
      <c r="A58" s="8">
        <f t="shared" si="5"/>
        <v>57</v>
      </c>
      <c r="B58" s="55" t="s">
        <v>433</v>
      </c>
      <c r="C58" s="20">
        <v>15000.0</v>
      </c>
      <c r="D58" s="7">
        <f t="shared" si="2"/>
        <v>9000</v>
      </c>
      <c r="E58" s="7">
        <f t="shared" ref="E58:F58" si="60">if($D58&lt;15000,$D58*12/100,15000*12/100)</f>
        <v>1080</v>
      </c>
      <c r="F58" s="7">
        <f t="shared" si="60"/>
        <v>1080</v>
      </c>
      <c r="G58" s="7">
        <f t="shared" si="4"/>
        <v>2160</v>
      </c>
    </row>
    <row r="59">
      <c r="A59" s="8">
        <f t="shared" si="5"/>
        <v>58</v>
      </c>
      <c r="B59" s="55" t="s">
        <v>445</v>
      </c>
      <c r="C59" s="3">
        <v>17000.0</v>
      </c>
      <c r="D59" s="7">
        <f t="shared" si="2"/>
        <v>10200</v>
      </c>
      <c r="E59" s="7">
        <f t="shared" ref="E59:F59" si="61">if($D59&lt;15000,$D59*12/100,15000*12/100)</f>
        <v>1224</v>
      </c>
      <c r="F59" s="7">
        <f t="shared" si="61"/>
        <v>1224</v>
      </c>
      <c r="G59" s="7">
        <f t="shared" si="4"/>
        <v>2448</v>
      </c>
    </row>
    <row r="60">
      <c r="A60" s="8">
        <f t="shared" si="5"/>
        <v>59</v>
      </c>
      <c r="B60" s="55" t="s">
        <v>446</v>
      </c>
      <c r="C60" s="3">
        <v>18000.0</v>
      </c>
      <c r="D60" s="7">
        <f t="shared" si="2"/>
        <v>10800</v>
      </c>
      <c r="E60" s="7">
        <f t="shared" ref="E60:F60" si="62">if($D60&lt;15000,$D60*12/100,15000*12/100)</f>
        <v>1296</v>
      </c>
      <c r="F60" s="7">
        <f t="shared" si="62"/>
        <v>1296</v>
      </c>
      <c r="G60" s="7">
        <f t="shared" si="4"/>
        <v>2592</v>
      </c>
    </row>
    <row r="61">
      <c r="A61" s="8">
        <f t="shared" si="5"/>
        <v>60</v>
      </c>
      <c r="B61" s="55" t="s">
        <v>447</v>
      </c>
      <c r="C61" s="3">
        <v>18000.0</v>
      </c>
      <c r="D61" s="7">
        <f t="shared" si="2"/>
        <v>10800</v>
      </c>
      <c r="E61" s="7">
        <f t="shared" ref="E61:F61" si="63">if($D61&lt;15000,$D61*12/100,15000*12/100)</f>
        <v>1296</v>
      </c>
      <c r="F61" s="7">
        <f t="shared" si="63"/>
        <v>1296</v>
      </c>
      <c r="G61" s="7">
        <f t="shared" si="4"/>
        <v>2592</v>
      </c>
    </row>
    <row r="62">
      <c r="A62" s="8">
        <f t="shared" si="5"/>
        <v>61</v>
      </c>
      <c r="B62" s="55" t="s">
        <v>448</v>
      </c>
      <c r="C62" s="3">
        <v>42000.0</v>
      </c>
      <c r="D62" s="7">
        <f t="shared" si="2"/>
        <v>25200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55" t="s">
        <v>449</v>
      </c>
      <c r="C63" s="3">
        <v>18000.0</v>
      </c>
      <c r="D63" s="7">
        <f t="shared" si="2"/>
        <v>10800</v>
      </c>
      <c r="E63" s="7">
        <f t="shared" ref="E63:F63" si="65">if($D63&lt;15000,$D63*12/100,15000*12/100)</f>
        <v>1296</v>
      </c>
      <c r="F63" s="7">
        <f t="shared" si="65"/>
        <v>1296</v>
      </c>
      <c r="G63" s="7">
        <f t="shared" si="4"/>
        <v>2592</v>
      </c>
    </row>
    <row r="64">
      <c r="A64" s="8">
        <f t="shared" si="5"/>
        <v>63</v>
      </c>
      <c r="B64" s="55" t="s">
        <v>450</v>
      </c>
      <c r="C64" s="3">
        <v>43000.0</v>
      </c>
      <c r="D64" s="7">
        <f t="shared" si="2"/>
        <v>25800</v>
      </c>
      <c r="E64" s="7">
        <f t="shared" ref="E64:F64" si="66">if($D64&lt;15000,$D64*12/100,15000*12/100)</f>
        <v>1800</v>
      </c>
      <c r="F64" s="7">
        <f t="shared" si="66"/>
        <v>1800</v>
      </c>
      <c r="G64" s="7">
        <f t="shared" si="4"/>
        <v>3600</v>
      </c>
    </row>
    <row r="65">
      <c r="A65" s="8">
        <f t="shared" si="5"/>
        <v>64</v>
      </c>
      <c r="B65" s="55" t="s">
        <v>451</v>
      </c>
      <c r="C65" s="3">
        <v>30000.0</v>
      </c>
      <c r="D65" s="7">
        <f t="shared" si="2"/>
        <v>18000</v>
      </c>
      <c r="E65" s="7">
        <f t="shared" ref="E65:F65" si="67">if($D65&lt;15000,$D65*12/100,15000*12/100)</f>
        <v>1800</v>
      </c>
      <c r="F65" s="7">
        <f t="shared" si="67"/>
        <v>1800</v>
      </c>
      <c r="G65" s="7">
        <f t="shared" si="4"/>
        <v>3600</v>
      </c>
    </row>
    <row r="66">
      <c r="A66" s="8">
        <f t="shared" si="5"/>
        <v>65</v>
      </c>
      <c r="B66" s="55" t="s">
        <v>452</v>
      </c>
      <c r="C66" s="3">
        <v>16000.0</v>
      </c>
      <c r="D66" s="7">
        <f t="shared" si="2"/>
        <v>9600</v>
      </c>
      <c r="E66" s="7">
        <f t="shared" ref="E66:F66" si="68">if($D66&lt;15000,$D66*12/100,15000*12/100)</f>
        <v>1152</v>
      </c>
      <c r="F66" s="7">
        <f t="shared" si="68"/>
        <v>1152</v>
      </c>
      <c r="G66" s="7">
        <f t="shared" si="4"/>
        <v>2304</v>
      </c>
    </row>
    <row r="67">
      <c r="A67" s="8">
        <f t="shared" si="5"/>
        <v>66</v>
      </c>
      <c r="B67" s="55" t="s">
        <v>453</v>
      </c>
      <c r="C67" s="3">
        <v>15000.0</v>
      </c>
      <c r="D67" s="7">
        <f t="shared" si="2"/>
        <v>9000</v>
      </c>
      <c r="E67" s="7">
        <f t="shared" ref="E67:F67" si="69">if($D67&lt;15000,$D67*12/100,15000*12/100)</f>
        <v>1080</v>
      </c>
      <c r="F67" s="7">
        <f t="shared" si="69"/>
        <v>1080</v>
      </c>
      <c r="G67" s="7">
        <f t="shared" si="4"/>
        <v>2160</v>
      </c>
    </row>
    <row r="68">
      <c r="A68" s="8">
        <f t="shared" si="5"/>
        <v>67</v>
      </c>
      <c r="B68" s="55" t="s">
        <v>454</v>
      </c>
      <c r="C68" s="3">
        <v>37000.0</v>
      </c>
      <c r="D68" s="7">
        <f t="shared" si="2"/>
        <v>22200</v>
      </c>
      <c r="E68" s="7">
        <f t="shared" ref="E68:F68" si="70">if($D68&lt;15000,$D68*12/100,15000*12/100)</f>
        <v>1800</v>
      </c>
      <c r="F68" s="7">
        <f t="shared" si="70"/>
        <v>1800</v>
      </c>
      <c r="G68" s="7">
        <f t="shared" si="4"/>
        <v>3600</v>
      </c>
    </row>
    <row r="69">
      <c r="A69" s="8">
        <f t="shared" si="5"/>
        <v>68</v>
      </c>
      <c r="B69" s="55" t="s">
        <v>455</v>
      </c>
      <c r="C69" s="3">
        <v>25000.0</v>
      </c>
      <c r="D69" s="7">
        <f t="shared" si="2"/>
        <v>15000</v>
      </c>
      <c r="E69" s="7">
        <f t="shared" ref="E69:F69" si="71">if($D69&lt;15000,$D69*12/100,15000*12/100)</f>
        <v>1800</v>
      </c>
      <c r="F69" s="7">
        <f t="shared" si="71"/>
        <v>1800</v>
      </c>
      <c r="G69" s="7">
        <f t="shared" si="4"/>
        <v>3600</v>
      </c>
    </row>
    <row r="70">
      <c r="A70" s="8">
        <f t="shared" si="5"/>
        <v>69</v>
      </c>
      <c r="B70" s="55" t="s">
        <v>456</v>
      </c>
      <c r="C70" s="3">
        <v>16000.0</v>
      </c>
      <c r="D70" s="7">
        <f t="shared" si="2"/>
        <v>9600</v>
      </c>
      <c r="E70" s="7">
        <f t="shared" ref="E70:F70" si="72">if($D70&lt;15000,$D70*12/100,15000*12/100)</f>
        <v>1152</v>
      </c>
      <c r="F70" s="7">
        <f t="shared" si="72"/>
        <v>1152</v>
      </c>
      <c r="G70" s="7">
        <f t="shared" si="4"/>
        <v>2304</v>
      </c>
    </row>
    <row r="71">
      <c r="A71" s="8">
        <f t="shared" si="5"/>
        <v>70</v>
      </c>
      <c r="B71" s="55" t="s">
        <v>282</v>
      </c>
      <c r="C71" s="3">
        <v>16000.0</v>
      </c>
      <c r="D71" s="7">
        <f t="shared" si="2"/>
        <v>9600</v>
      </c>
      <c r="E71" s="7">
        <f t="shared" ref="E71:F71" si="73">if($D71&lt;15000,$D71*12/100,15000*12/100)</f>
        <v>1152</v>
      </c>
      <c r="F71" s="7">
        <f t="shared" si="73"/>
        <v>1152</v>
      </c>
      <c r="G71" s="7">
        <f t="shared" si="4"/>
        <v>2304</v>
      </c>
    </row>
    <row r="72">
      <c r="A72" s="8">
        <f t="shared" si="5"/>
        <v>71</v>
      </c>
      <c r="B72" s="55" t="s">
        <v>283</v>
      </c>
      <c r="C72" s="3">
        <v>16000.0</v>
      </c>
      <c r="D72" s="7">
        <f t="shared" si="2"/>
        <v>9600</v>
      </c>
      <c r="E72" s="7">
        <f t="shared" ref="E72:F72" si="74">if($D72&lt;15000,$D72*12/100,15000*12/100)</f>
        <v>1152</v>
      </c>
      <c r="F72" s="7">
        <f t="shared" si="74"/>
        <v>1152</v>
      </c>
      <c r="G72" s="7">
        <f t="shared" si="4"/>
        <v>2304</v>
      </c>
    </row>
    <row r="73">
      <c r="A73" s="8">
        <f t="shared" si="5"/>
        <v>72</v>
      </c>
      <c r="B73" s="55" t="s">
        <v>268</v>
      </c>
      <c r="C73" s="3">
        <v>16000.0</v>
      </c>
      <c r="D73" s="7">
        <f t="shared" si="2"/>
        <v>9600</v>
      </c>
      <c r="E73" s="7">
        <f t="shared" ref="E73:F73" si="75">if($D73&lt;15000,$D73*12/100,15000*12/100)</f>
        <v>1152</v>
      </c>
      <c r="F73" s="7">
        <f t="shared" si="75"/>
        <v>1152</v>
      </c>
      <c r="G73" s="7">
        <f t="shared" si="4"/>
        <v>2304</v>
      </c>
    </row>
    <row r="74">
      <c r="A74" s="8">
        <f t="shared" si="5"/>
        <v>73</v>
      </c>
      <c r="B74" s="55" t="s">
        <v>285</v>
      </c>
      <c r="C74" s="3">
        <v>16000.0</v>
      </c>
      <c r="D74" s="7">
        <f t="shared" si="2"/>
        <v>9600</v>
      </c>
      <c r="E74" s="7">
        <f t="shared" ref="E74:F74" si="76">if($D74&lt;15000,$D74*12/100,15000*12/100)</f>
        <v>1152</v>
      </c>
      <c r="F74" s="7">
        <f t="shared" si="76"/>
        <v>1152</v>
      </c>
      <c r="G74" s="7">
        <f t="shared" si="4"/>
        <v>2304</v>
      </c>
    </row>
    <row r="75">
      <c r="A75" s="8">
        <f t="shared" si="5"/>
        <v>74</v>
      </c>
      <c r="B75" s="55" t="s">
        <v>271</v>
      </c>
      <c r="C75" s="3">
        <v>16000.0</v>
      </c>
      <c r="D75" s="7">
        <f t="shared" si="2"/>
        <v>9600</v>
      </c>
      <c r="E75" s="7">
        <f t="shared" ref="E75:F75" si="77">if($D75&lt;15000,$D75*12/100,15000*12/100)</f>
        <v>1152</v>
      </c>
      <c r="F75" s="7">
        <f t="shared" si="77"/>
        <v>1152</v>
      </c>
      <c r="G75" s="7">
        <f t="shared" si="4"/>
        <v>2304</v>
      </c>
    </row>
    <row r="76">
      <c r="A76" s="8">
        <f t="shared" si="5"/>
        <v>75</v>
      </c>
      <c r="B76" s="55" t="s">
        <v>457</v>
      </c>
      <c r="C76" s="3">
        <v>16000.0</v>
      </c>
      <c r="D76" s="7">
        <f t="shared" si="2"/>
        <v>9600</v>
      </c>
      <c r="E76" s="7">
        <f t="shared" ref="E76:F76" si="78">if($D76&lt;15000,$D76*12/100,15000*12/100)</f>
        <v>1152</v>
      </c>
      <c r="F76" s="7">
        <f t="shared" si="78"/>
        <v>1152</v>
      </c>
      <c r="G76" s="7">
        <f t="shared" si="4"/>
        <v>2304</v>
      </c>
    </row>
    <row r="77">
      <c r="A77" s="8">
        <f t="shared" si="5"/>
        <v>76</v>
      </c>
      <c r="B77" s="55" t="s">
        <v>385</v>
      </c>
      <c r="C77" s="3">
        <v>16000.0</v>
      </c>
      <c r="D77" s="7">
        <f t="shared" si="2"/>
        <v>9600</v>
      </c>
      <c r="E77" s="7">
        <f t="shared" ref="E77:F77" si="79">if($D77&lt;15000,$D77*12/100,15000*12/100)</f>
        <v>1152</v>
      </c>
      <c r="F77" s="7">
        <f t="shared" si="79"/>
        <v>1152</v>
      </c>
      <c r="G77" s="7">
        <f t="shared" si="4"/>
        <v>2304</v>
      </c>
    </row>
    <row r="78">
      <c r="A78" s="8">
        <f t="shared" si="5"/>
        <v>77</v>
      </c>
      <c r="B78" s="55" t="s">
        <v>384</v>
      </c>
      <c r="C78" s="3">
        <v>16000.0</v>
      </c>
      <c r="D78" s="7">
        <f t="shared" si="2"/>
        <v>9600</v>
      </c>
      <c r="E78" s="7">
        <f t="shared" ref="E78:F78" si="80">if($D78&lt;15000,$D78*12/100,15000*12/100)</f>
        <v>1152</v>
      </c>
      <c r="F78" s="7">
        <f t="shared" si="80"/>
        <v>1152</v>
      </c>
      <c r="G78" s="7">
        <f t="shared" si="4"/>
        <v>2304</v>
      </c>
    </row>
    <row r="79">
      <c r="A79" s="8">
        <f t="shared" si="5"/>
        <v>78</v>
      </c>
      <c r="B79" s="55" t="s">
        <v>436</v>
      </c>
      <c r="C79" s="3">
        <v>16000.0</v>
      </c>
      <c r="D79" s="7">
        <f t="shared" si="2"/>
        <v>9600</v>
      </c>
      <c r="E79" s="7">
        <f t="shared" ref="E79:F79" si="81">if($D79&lt;15000,$D79*12/100,15000*12/100)</f>
        <v>1152</v>
      </c>
      <c r="F79" s="7">
        <f t="shared" si="81"/>
        <v>1152</v>
      </c>
      <c r="G79" s="7">
        <f t="shared" si="4"/>
        <v>2304</v>
      </c>
    </row>
    <row r="80">
      <c r="A80" s="8">
        <f t="shared" si="5"/>
        <v>79</v>
      </c>
      <c r="B80" s="55" t="s">
        <v>282</v>
      </c>
      <c r="C80" s="3">
        <v>16000.0</v>
      </c>
      <c r="D80" s="7">
        <f t="shared" si="2"/>
        <v>9600</v>
      </c>
      <c r="E80" s="7">
        <f t="shared" ref="E80:F80" si="82">if($D80&lt;15000,$D80*12/100,15000*12/100)</f>
        <v>1152</v>
      </c>
      <c r="F80" s="7">
        <f t="shared" si="82"/>
        <v>1152</v>
      </c>
      <c r="G80" s="7">
        <f t="shared" si="4"/>
        <v>2304</v>
      </c>
    </row>
    <row r="81">
      <c r="A81" s="8">
        <f t="shared" si="5"/>
        <v>80</v>
      </c>
      <c r="B81" s="55" t="s">
        <v>386</v>
      </c>
      <c r="C81" s="3">
        <v>16000.0</v>
      </c>
      <c r="D81" s="7">
        <f t="shared" si="2"/>
        <v>9600</v>
      </c>
      <c r="E81" s="7">
        <f t="shared" ref="E81:F81" si="83">if($D81&lt;15000,$D81*12/100,15000*12/100)</f>
        <v>1152</v>
      </c>
      <c r="F81" s="7">
        <f t="shared" si="83"/>
        <v>1152</v>
      </c>
      <c r="G81" s="7">
        <f t="shared" si="4"/>
        <v>2304</v>
      </c>
    </row>
    <row r="82">
      <c r="A82" s="8">
        <f t="shared" si="5"/>
        <v>81</v>
      </c>
      <c r="B82" s="55" t="s">
        <v>261</v>
      </c>
      <c r="C82" s="3">
        <v>16000.0</v>
      </c>
      <c r="D82" s="7">
        <f t="shared" si="2"/>
        <v>9600</v>
      </c>
      <c r="E82" s="7">
        <f t="shared" ref="E82:F82" si="84">if($D82&lt;15000,$D82*12/100,15000*12/100)</f>
        <v>1152</v>
      </c>
      <c r="F82" s="7">
        <f t="shared" si="84"/>
        <v>1152</v>
      </c>
      <c r="G82" s="7">
        <f t="shared" si="4"/>
        <v>2304</v>
      </c>
    </row>
    <row r="83">
      <c r="A83" s="8">
        <f t="shared" si="5"/>
        <v>82</v>
      </c>
      <c r="B83" s="55" t="s">
        <v>262</v>
      </c>
      <c r="C83" s="3">
        <v>16000.0</v>
      </c>
      <c r="D83" s="7">
        <f t="shared" si="2"/>
        <v>9600</v>
      </c>
      <c r="E83" s="7">
        <f t="shared" ref="E83:F83" si="85">if($D83&lt;15000,$D83*12/100,15000*12/100)</f>
        <v>1152</v>
      </c>
      <c r="F83" s="7">
        <f t="shared" si="85"/>
        <v>1152</v>
      </c>
      <c r="G83" s="7">
        <f t="shared" si="4"/>
        <v>2304</v>
      </c>
    </row>
    <row r="84">
      <c r="A84" s="8">
        <f t="shared" si="5"/>
        <v>83</v>
      </c>
      <c r="B84" s="55" t="s">
        <v>263</v>
      </c>
      <c r="C84" s="3">
        <v>16000.0</v>
      </c>
      <c r="D84" s="7">
        <f t="shared" si="2"/>
        <v>9600</v>
      </c>
      <c r="E84" s="7">
        <f t="shared" ref="E84:F84" si="86">if($D84&lt;15000,$D84*12/100,15000*12/100)</f>
        <v>1152</v>
      </c>
      <c r="F84" s="7">
        <f t="shared" si="86"/>
        <v>1152</v>
      </c>
      <c r="G84" s="7">
        <f t="shared" si="4"/>
        <v>2304</v>
      </c>
    </row>
    <row r="85">
      <c r="A85" s="8">
        <f t="shared" si="5"/>
        <v>84</v>
      </c>
      <c r="B85" s="55" t="s">
        <v>389</v>
      </c>
      <c r="C85" s="3">
        <v>16000.0</v>
      </c>
      <c r="D85" s="7">
        <f t="shared" si="2"/>
        <v>9600</v>
      </c>
      <c r="E85" s="7">
        <f t="shared" ref="E85:F85" si="87">if($D85&lt;15000,$D85*12/100,15000*12/100)</f>
        <v>1152</v>
      </c>
      <c r="F85" s="7">
        <f t="shared" si="87"/>
        <v>1152</v>
      </c>
      <c r="G85" s="7">
        <f t="shared" si="4"/>
        <v>2304</v>
      </c>
    </row>
    <row r="86">
      <c r="A86" s="8">
        <f t="shared" si="5"/>
        <v>85</v>
      </c>
      <c r="B86" s="55" t="s">
        <v>458</v>
      </c>
      <c r="C86" s="3">
        <v>16000.0</v>
      </c>
      <c r="D86" s="7">
        <f t="shared" si="2"/>
        <v>9600</v>
      </c>
      <c r="E86" s="7">
        <f t="shared" ref="E86:F86" si="88">if($D86&lt;15000,$D86*12/100,15000*12/100)</f>
        <v>1152</v>
      </c>
      <c r="F86" s="7">
        <f t="shared" si="88"/>
        <v>1152</v>
      </c>
      <c r="G86" s="7">
        <f t="shared" si="4"/>
        <v>2304</v>
      </c>
    </row>
    <row r="87">
      <c r="A87" s="8">
        <f t="shared" si="5"/>
        <v>86</v>
      </c>
      <c r="B87" s="55" t="s">
        <v>437</v>
      </c>
      <c r="C87" s="3">
        <v>16000.0</v>
      </c>
      <c r="D87" s="7">
        <f t="shared" si="2"/>
        <v>9600</v>
      </c>
      <c r="E87" s="7">
        <f t="shared" ref="E87:F87" si="89">if($D87&lt;15000,$D87*12/100,15000*12/100)</f>
        <v>1152</v>
      </c>
      <c r="F87" s="7">
        <f t="shared" si="89"/>
        <v>1152</v>
      </c>
      <c r="G87" s="7">
        <f t="shared" si="4"/>
        <v>2304</v>
      </c>
    </row>
    <row r="88">
      <c r="A88" s="8">
        <f t="shared" si="5"/>
        <v>87</v>
      </c>
      <c r="B88" s="55" t="s">
        <v>438</v>
      </c>
      <c r="C88" s="3">
        <v>16000.0</v>
      </c>
      <c r="D88" s="7">
        <f t="shared" si="2"/>
        <v>9600</v>
      </c>
      <c r="E88" s="7">
        <f t="shared" ref="E88:F88" si="90">if($D88&lt;15000,$D88*12/100,15000*12/100)</f>
        <v>1152</v>
      </c>
      <c r="F88" s="7">
        <f t="shared" si="90"/>
        <v>1152</v>
      </c>
      <c r="G88" s="7">
        <f t="shared" si="4"/>
        <v>2304</v>
      </c>
    </row>
    <row r="89">
      <c r="A89" s="8">
        <f t="shared" si="5"/>
        <v>88</v>
      </c>
      <c r="B89" s="55" t="s">
        <v>439</v>
      </c>
      <c r="C89" s="3">
        <v>16000.0</v>
      </c>
      <c r="D89" s="7">
        <f t="shared" si="2"/>
        <v>9600</v>
      </c>
      <c r="E89" s="7">
        <f t="shared" ref="E89:F89" si="91">if($D89&lt;15000,$D89*12/100,15000*12/100)</f>
        <v>1152</v>
      </c>
      <c r="F89" s="7">
        <f t="shared" si="91"/>
        <v>1152</v>
      </c>
      <c r="G89" s="7">
        <f t="shared" si="4"/>
        <v>2304</v>
      </c>
    </row>
    <row r="90">
      <c r="A90" s="8">
        <f t="shared" si="5"/>
        <v>89</v>
      </c>
      <c r="B90" s="55" t="s">
        <v>440</v>
      </c>
      <c r="C90" s="3">
        <v>16000.0</v>
      </c>
      <c r="D90" s="7">
        <f t="shared" si="2"/>
        <v>9600</v>
      </c>
      <c r="E90" s="7">
        <f t="shared" ref="E90:F90" si="92">if($D90&lt;15000,$D90*12/100,15000*12/100)</f>
        <v>1152</v>
      </c>
      <c r="F90" s="7">
        <f t="shared" si="92"/>
        <v>1152</v>
      </c>
      <c r="G90" s="7">
        <f t="shared" si="4"/>
        <v>2304</v>
      </c>
    </row>
    <row r="91">
      <c r="A91" s="8">
        <f t="shared" si="5"/>
        <v>90</v>
      </c>
      <c r="B91" s="55" t="s">
        <v>441</v>
      </c>
      <c r="C91" s="3">
        <v>16000.0</v>
      </c>
      <c r="D91" s="7">
        <f t="shared" si="2"/>
        <v>9600</v>
      </c>
      <c r="E91" s="7">
        <f t="shared" ref="E91:F91" si="93">if($D91&lt;15000,$D91*12/100,15000*12/100)</f>
        <v>1152</v>
      </c>
      <c r="F91" s="7">
        <f t="shared" si="93"/>
        <v>1152</v>
      </c>
      <c r="G91" s="7">
        <f t="shared" si="4"/>
        <v>2304</v>
      </c>
    </row>
    <row r="92">
      <c r="A92" s="9" t="s">
        <v>34</v>
      </c>
      <c r="B92" s="10"/>
      <c r="C92" s="11">
        <f t="shared" ref="C92:G92" si="94">sum(C2:C91)</f>
        <v>2033000</v>
      </c>
      <c r="D92" s="11">
        <f t="shared" si="94"/>
        <v>1219800</v>
      </c>
      <c r="E92" s="11">
        <f t="shared" si="94"/>
        <v>127440</v>
      </c>
      <c r="F92" s="11">
        <f t="shared" si="94"/>
        <v>127440</v>
      </c>
      <c r="G92" s="11">
        <f t="shared" si="94"/>
        <v>254880</v>
      </c>
    </row>
  </sheetData>
  <mergeCells count="1">
    <mergeCell ref="A92:B92"/>
  </mergeCells>
  <hyperlinks>
    <hyperlink r:id="rId1" ref="A1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67" t="s">
        <v>381</v>
      </c>
      <c r="C2" s="68">
        <v>81000.0</v>
      </c>
      <c r="D2" s="7">
        <f t="shared" ref="D2:D89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89" si="4">E2+F2</f>
        <v>3600</v>
      </c>
    </row>
    <row r="3">
      <c r="A3" s="8">
        <f t="shared" ref="A3:A89" si="5">A2+1</f>
        <v>2</v>
      </c>
      <c r="B3" s="67" t="s">
        <v>195</v>
      </c>
      <c r="C3" s="68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26" t="s">
        <v>203</v>
      </c>
      <c r="C4" s="69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26" t="s">
        <v>200</v>
      </c>
      <c r="C5" s="69">
        <v>35806.0</v>
      </c>
      <c r="D5" s="7">
        <f t="shared" si="2"/>
        <v>21483.6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26" t="s">
        <v>382</v>
      </c>
      <c r="C6" s="69">
        <v>23613.0</v>
      </c>
      <c r="D6" s="7">
        <f t="shared" si="2"/>
        <v>14167.8</v>
      </c>
      <c r="E6" s="7">
        <f t="shared" ref="E6:F6" si="8">if($D6&lt;15000,$D6*12/100,15000*12/100)</f>
        <v>1700.136</v>
      </c>
      <c r="F6" s="7">
        <f t="shared" si="8"/>
        <v>1700.136</v>
      </c>
      <c r="G6" s="7">
        <f t="shared" si="4"/>
        <v>3400.272</v>
      </c>
    </row>
    <row r="7">
      <c r="A7" s="8">
        <f t="shared" si="5"/>
        <v>6</v>
      </c>
      <c r="B7" s="70" t="s">
        <v>231</v>
      </c>
      <c r="C7" s="71">
        <v>27000.0</v>
      </c>
      <c r="D7" s="7">
        <f t="shared" si="2"/>
        <v>16200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67" t="s">
        <v>236</v>
      </c>
      <c r="C8" s="68">
        <v>17774.0</v>
      </c>
      <c r="D8" s="7">
        <f t="shared" si="2"/>
        <v>10664.4</v>
      </c>
      <c r="E8" s="7">
        <f t="shared" ref="E8:F8" si="10">if($D8&lt;15000,$D8*12/100,15000*12/100)</f>
        <v>1279.728</v>
      </c>
      <c r="F8" s="7">
        <f t="shared" si="10"/>
        <v>1279.728</v>
      </c>
      <c r="G8" s="7">
        <f t="shared" si="4"/>
        <v>2559.456</v>
      </c>
    </row>
    <row r="9">
      <c r="A9" s="8">
        <f t="shared" si="5"/>
        <v>8</v>
      </c>
      <c r="B9" s="26" t="s">
        <v>221</v>
      </c>
      <c r="C9" s="69">
        <v>24387.0</v>
      </c>
      <c r="D9" s="7">
        <f t="shared" si="2"/>
        <v>14632.2</v>
      </c>
      <c r="E9" s="7">
        <f t="shared" ref="E9:F9" si="11">if($D9&lt;15000,$D9*12/100,15000*12/100)</f>
        <v>1755.864</v>
      </c>
      <c r="F9" s="7">
        <f t="shared" si="11"/>
        <v>1755.864</v>
      </c>
      <c r="G9" s="7">
        <f t="shared" si="4"/>
        <v>3511.728</v>
      </c>
    </row>
    <row r="10">
      <c r="A10" s="8">
        <f t="shared" si="5"/>
        <v>9</v>
      </c>
      <c r="B10" s="26" t="s">
        <v>201</v>
      </c>
      <c r="C10" s="69">
        <v>30000.0</v>
      </c>
      <c r="D10" s="7">
        <f t="shared" si="2"/>
        <v>18000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26" t="s">
        <v>213</v>
      </c>
      <c r="C11" s="69">
        <v>24323.0</v>
      </c>
      <c r="D11" s="7">
        <f t="shared" si="2"/>
        <v>14593.8</v>
      </c>
      <c r="E11" s="7">
        <f t="shared" ref="E11:F11" si="13">if($D11&lt;15000,$D11*12/100,15000*12/100)</f>
        <v>1751.256</v>
      </c>
      <c r="F11" s="7">
        <f t="shared" si="13"/>
        <v>1751.256</v>
      </c>
      <c r="G11" s="7">
        <f t="shared" si="4"/>
        <v>3502.512</v>
      </c>
    </row>
    <row r="12">
      <c r="A12" s="8">
        <f t="shared" si="5"/>
        <v>11</v>
      </c>
      <c r="B12" s="26" t="s">
        <v>208</v>
      </c>
      <c r="C12" s="69">
        <v>33000.0</v>
      </c>
      <c r="D12" s="7">
        <f t="shared" si="2"/>
        <v>19800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26" t="s">
        <v>248</v>
      </c>
      <c r="C13" s="69">
        <v>30452.0</v>
      </c>
      <c r="D13" s="7">
        <f t="shared" si="2"/>
        <v>18271.2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202</v>
      </c>
      <c r="C14" s="69">
        <v>28065.0</v>
      </c>
      <c r="D14" s="7">
        <f t="shared" si="2"/>
        <v>16839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26" t="s">
        <v>209</v>
      </c>
      <c r="C15" s="69">
        <v>32000.0</v>
      </c>
      <c r="D15" s="7">
        <f t="shared" si="2"/>
        <v>19200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26" t="s">
        <v>214</v>
      </c>
      <c r="C16" s="69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26" t="s">
        <v>206</v>
      </c>
      <c r="C17" s="69">
        <v>26193.0</v>
      </c>
      <c r="D17" s="7">
        <f t="shared" si="2"/>
        <v>15715.8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26" t="s">
        <v>414</v>
      </c>
      <c r="C18" s="69">
        <v>22258.0</v>
      </c>
      <c r="D18" s="7">
        <f t="shared" si="2"/>
        <v>13354.8</v>
      </c>
      <c r="E18" s="7">
        <f t="shared" ref="E18:F18" si="20">if($D18&lt;15000,$D18*12/100,15000*12/100)</f>
        <v>1602.576</v>
      </c>
      <c r="F18" s="7">
        <f t="shared" si="20"/>
        <v>1602.576</v>
      </c>
      <c r="G18" s="7">
        <f t="shared" si="4"/>
        <v>3205.152</v>
      </c>
    </row>
    <row r="19">
      <c r="A19" s="8">
        <f t="shared" si="5"/>
        <v>18</v>
      </c>
      <c r="B19" s="26" t="s">
        <v>210</v>
      </c>
      <c r="C19" s="69">
        <v>32468.0</v>
      </c>
      <c r="D19" s="7">
        <f t="shared" si="2"/>
        <v>19480.8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26" t="s">
        <v>442</v>
      </c>
      <c r="C20" s="69">
        <v>31976.0</v>
      </c>
      <c r="D20" s="7">
        <f t="shared" si="2"/>
        <v>19185.6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26" t="s">
        <v>212</v>
      </c>
      <c r="C21" s="69">
        <v>28500.0</v>
      </c>
      <c r="D21" s="7">
        <f t="shared" si="2"/>
        <v>17100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26" t="s">
        <v>252</v>
      </c>
      <c r="C22" s="69">
        <v>23000.0</v>
      </c>
      <c r="D22" s="7">
        <f t="shared" si="2"/>
        <v>13800</v>
      </c>
      <c r="E22" s="7">
        <f t="shared" ref="E22:F22" si="24">if($D22&lt;15000,$D22*12/100,15000*12/100)</f>
        <v>1656</v>
      </c>
      <c r="F22" s="7">
        <f t="shared" si="24"/>
        <v>1656</v>
      </c>
      <c r="G22" s="7">
        <f t="shared" si="4"/>
        <v>3312</v>
      </c>
    </row>
    <row r="23">
      <c r="A23" s="8">
        <f t="shared" si="5"/>
        <v>22</v>
      </c>
      <c r="B23" s="26" t="s">
        <v>249</v>
      </c>
      <c r="C23" s="69">
        <v>18000.0</v>
      </c>
      <c r="D23" s="7">
        <f t="shared" si="2"/>
        <v>10800</v>
      </c>
      <c r="E23" s="7">
        <f t="shared" ref="E23:F23" si="25">if($D23&lt;15000,$D23*12/100,15000*12/100)</f>
        <v>1296</v>
      </c>
      <c r="F23" s="7">
        <f t="shared" si="25"/>
        <v>1296</v>
      </c>
      <c r="G23" s="7">
        <f t="shared" si="4"/>
        <v>2592</v>
      </c>
    </row>
    <row r="24">
      <c r="A24" s="8">
        <f t="shared" si="5"/>
        <v>23</v>
      </c>
      <c r="B24" s="26" t="s">
        <v>223</v>
      </c>
      <c r="C24" s="69">
        <v>24597.0</v>
      </c>
      <c r="D24" s="7">
        <f t="shared" si="2"/>
        <v>14758.2</v>
      </c>
      <c r="E24" s="7">
        <f t="shared" ref="E24:F24" si="26">if($D24&lt;15000,$D24*12/100,15000*12/100)</f>
        <v>1770.984</v>
      </c>
      <c r="F24" s="7">
        <f t="shared" si="26"/>
        <v>1770.984</v>
      </c>
      <c r="G24" s="7">
        <f t="shared" si="4"/>
        <v>3541.968</v>
      </c>
    </row>
    <row r="25">
      <c r="A25" s="8">
        <f t="shared" si="5"/>
        <v>24</v>
      </c>
      <c r="B25" s="26" t="s">
        <v>416</v>
      </c>
      <c r="C25" s="69">
        <v>29516.0</v>
      </c>
      <c r="D25" s="7">
        <f t="shared" si="2"/>
        <v>17709.6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26" t="s">
        <v>417</v>
      </c>
      <c r="C26" s="69">
        <v>25000.0</v>
      </c>
      <c r="D26" s="7">
        <f t="shared" si="2"/>
        <v>15000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26" t="s">
        <v>216</v>
      </c>
      <c r="C27" s="69">
        <v>27000.0</v>
      </c>
      <c r="D27" s="7">
        <f t="shared" si="2"/>
        <v>16200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72" t="s">
        <v>277</v>
      </c>
      <c r="C28" s="73">
        <v>16000.0</v>
      </c>
      <c r="D28" s="7">
        <f t="shared" si="2"/>
        <v>9600</v>
      </c>
      <c r="E28" s="7">
        <f t="shared" ref="E28:F28" si="30">if($D28&lt;15000,$D28*12/100,15000*12/100)</f>
        <v>1152</v>
      </c>
      <c r="F28" s="7">
        <f t="shared" si="30"/>
        <v>1152</v>
      </c>
      <c r="G28" s="7">
        <f t="shared" si="4"/>
        <v>2304</v>
      </c>
    </row>
    <row r="29">
      <c r="A29" s="8">
        <f t="shared" si="5"/>
        <v>28</v>
      </c>
      <c r="B29" s="26" t="s">
        <v>258</v>
      </c>
      <c r="C29" s="69">
        <v>20000.0</v>
      </c>
      <c r="D29" s="7">
        <f t="shared" si="2"/>
        <v>12000</v>
      </c>
      <c r="E29" s="7">
        <f t="shared" ref="E29:F29" si="31">if($D29&lt;15000,$D29*12/100,15000*12/100)</f>
        <v>1440</v>
      </c>
      <c r="F29" s="7">
        <f t="shared" si="31"/>
        <v>1440</v>
      </c>
      <c r="G29" s="7">
        <f t="shared" si="4"/>
        <v>2880</v>
      </c>
    </row>
    <row r="30">
      <c r="A30" s="8">
        <f t="shared" si="5"/>
        <v>29</v>
      </c>
      <c r="B30" s="26" t="s">
        <v>279</v>
      </c>
      <c r="C30" s="69">
        <v>23226.0</v>
      </c>
      <c r="D30" s="7">
        <f t="shared" si="2"/>
        <v>13935.6</v>
      </c>
      <c r="E30" s="7">
        <f t="shared" ref="E30:F30" si="32">if($D30&lt;15000,$D30*12/100,15000*12/100)</f>
        <v>1672.272</v>
      </c>
      <c r="F30" s="7">
        <f t="shared" si="32"/>
        <v>1672.272</v>
      </c>
      <c r="G30" s="7">
        <f t="shared" si="4"/>
        <v>3344.544</v>
      </c>
    </row>
    <row r="31">
      <c r="A31" s="8">
        <f t="shared" si="5"/>
        <v>30</v>
      </c>
      <c r="B31" s="26" t="s">
        <v>217</v>
      </c>
      <c r="C31" s="69">
        <v>22258.0</v>
      </c>
      <c r="D31" s="7">
        <f t="shared" si="2"/>
        <v>13354.8</v>
      </c>
      <c r="E31" s="7">
        <f t="shared" ref="E31:F31" si="33">if($D31&lt;15000,$D31*12/100,15000*12/100)</f>
        <v>1602.576</v>
      </c>
      <c r="F31" s="7">
        <f t="shared" si="33"/>
        <v>1602.576</v>
      </c>
      <c r="G31" s="7">
        <f t="shared" si="4"/>
        <v>3205.152</v>
      </c>
    </row>
    <row r="32">
      <c r="A32" s="8">
        <f t="shared" si="5"/>
        <v>31</v>
      </c>
      <c r="B32" s="26" t="s">
        <v>245</v>
      </c>
      <c r="C32" s="69">
        <v>18000.0</v>
      </c>
      <c r="D32" s="7">
        <f t="shared" si="2"/>
        <v>10800</v>
      </c>
      <c r="E32" s="7">
        <f t="shared" ref="E32:F32" si="34">if($D32&lt;15000,$D32*12/100,15000*12/100)</f>
        <v>1296</v>
      </c>
      <c r="F32" s="7">
        <f t="shared" si="34"/>
        <v>1296</v>
      </c>
      <c r="G32" s="7">
        <f t="shared" si="4"/>
        <v>2592</v>
      </c>
    </row>
    <row r="33">
      <c r="A33" s="8">
        <f t="shared" si="5"/>
        <v>32</v>
      </c>
      <c r="B33" s="26" t="s">
        <v>244</v>
      </c>
      <c r="C33" s="69">
        <v>19355.0</v>
      </c>
      <c r="D33" s="7">
        <f t="shared" si="2"/>
        <v>11613</v>
      </c>
      <c r="E33" s="7">
        <f t="shared" ref="E33:F33" si="35">if($D33&lt;15000,$D33*12/100,15000*12/100)</f>
        <v>1393.56</v>
      </c>
      <c r="F33" s="7">
        <f t="shared" si="35"/>
        <v>1393.56</v>
      </c>
      <c r="G33" s="7">
        <f t="shared" si="4"/>
        <v>2787.12</v>
      </c>
    </row>
    <row r="34">
      <c r="A34" s="8">
        <f t="shared" si="5"/>
        <v>33</v>
      </c>
      <c r="B34" s="26" t="s">
        <v>228</v>
      </c>
      <c r="C34" s="69">
        <v>17710.0</v>
      </c>
      <c r="D34" s="7">
        <f t="shared" si="2"/>
        <v>10626</v>
      </c>
      <c r="E34" s="7">
        <f t="shared" ref="E34:F34" si="36">if($D34&lt;15000,$D34*12/100,15000*12/100)</f>
        <v>1275.12</v>
      </c>
      <c r="F34" s="7">
        <f t="shared" si="36"/>
        <v>1275.12</v>
      </c>
      <c r="G34" s="7">
        <f t="shared" si="4"/>
        <v>2550.24</v>
      </c>
    </row>
    <row r="35">
      <c r="A35" s="8">
        <f t="shared" si="5"/>
        <v>34</v>
      </c>
      <c r="B35" s="26" t="s">
        <v>243</v>
      </c>
      <c r="C35" s="69">
        <v>16000.0</v>
      </c>
      <c r="D35" s="7">
        <f t="shared" si="2"/>
        <v>9600</v>
      </c>
      <c r="E35" s="7">
        <f t="shared" ref="E35:F35" si="37">if($D35&lt;15000,$D35*12/100,15000*12/100)</f>
        <v>1152</v>
      </c>
      <c r="F35" s="7">
        <f t="shared" si="37"/>
        <v>1152</v>
      </c>
      <c r="G35" s="7">
        <f t="shared" si="4"/>
        <v>2304</v>
      </c>
    </row>
    <row r="36">
      <c r="A36" s="8">
        <f t="shared" si="5"/>
        <v>35</v>
      </c>
      <c r="B36" s="74" t="s">
        <v>227</v>
      </c>
      <c r="C36" s="75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</row>
    <row r="37">
      <c r="A37" s="8">
        <f t="shared" si="5"/>
        <v>36</v>
      </c>
      <c r="B37" s="76" t="s">
        <v>377</v>
      </c>
      <c r="C37" s="77">
        <v>19000.0</v>
      </c>
      <c r="D37" s="7">
        <f t="shared" si="2"/>
        <v>11400</v>
      </c>
      <c r="E37" s="7">
        <f t="shared" ref="E37:F37" si="39">if($D37&lt;15000,$D37*12/100,15000*12/100)</f>
        <v>1368</v>
      </c>
      <c r="F37" s="7">
        <f t="shared" si="39"/>
        <v>1368</v>
      </c>
      <c r="G37" s="7">
        <f t="shared" si="4"/>
        <v>2736</v>
      </c>
    </row>
    <row r="38">
      <c r="A38" s="8">
        <f t="shared" si="5"/>
        <v>37</v>
      </c>
      <c r="B38" s="30" t="s">
        <v>274</v>
      </c>
      <c r="C38" s="69">
        <v>9355.0</v>
      </c>
      <c r="D38" s="7">
        <f t="shared" si="2"/>
        <v>5613</v>
      </c>
      <c r="E38" s="7">
        <f t="shared" ref="E38:F38" si="40">if($D38&lt;15000,$D38*12/100,15000*12/100)</f>
        <v>673.56</v>
      </c>
      <c r="F38" s="7">
        <f t="shared" si="40"/>
        <v>673.56</v>
      </c>
      <c r="G38" s="7">
        <f t="shared" si="4"/>
        <v>1347.12</v>
      </c>
    </row>
    <row r="39">
      <c r="A39" s="8">
        <f t="shared" si="5"/>
        <v>38</v>
      </c>
      <c r="B39" s="78" t="s">
        <v>419</v>
      </c>
      <c r="C39" s="68">
        <v>16000.0</v>
      </c>
      <c r="D39" s="7">
        <f t="shared" si="2"/>
        <v>9600</v>
      </c>
      <c r="E39" s="7">
        <f t="shared" ref="E39:F39" si="41">if($D39&lt;15000,$D39*12/100,15000*12/100)</f>
        <v>1152</v>
      </c>
      <c r="F39" s="7">
        <f t="shared" si="41"/>
        <v>1152</v>
      </c>
      <c r="G39" s="7">
        <f t="shared" si="4"/>
        <v>2304</v>
      </c>
    </row>
    <row r="40">
      <c r="A40" s="8">
        <f t="shared" si="5"/>
        <v>39</v>
      </c>
      <c r="B40" s="30" t="s">
        <v>220</v>
      </c>
      <c r="C40" s="69">
        <v>27500.0</v>
      </c>
      <c r="D40" s="7">
        <f t="shared" si="2"/>
        <v>16500</v>
      </c>
      <c r="E40" s="7">
        <f t="shared" ref="E40:F40" si="42">if($D40&lt;15000,$D40*12/100,15000*12/100)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79" t="s">
        <v>235</v>
      </c>
      <c r="C41" s="80">
        <v>22000.0</v>
      </c>
      <c r="D41" s="7">
        <f t="shared" si="2"/>
        <v>13200</v>
      </c>
      <c r="E41" s="7">
        <f t="shared" ref="E41:F41" si="43">if($D41&lt;15000,$D41*12/100,15000*12/100)</f>
        <v>1584</v>
      </c>
      <c r="F41" s="7">
        <f t="shared" si="43"/>
        <v>1584</v>
      </c>
      <c r="G41" s="7">
        <f t="shared" si="4"/>
        <v>3168</v>
      </c>
    </row>
    <row r="42">
      <c r="A42" s="8">
        <f t="shared" si="5"/>
        <v>41</v>
      </c>
      <c r="B42" s="30" t="s">
        <v>273</v>
      </c>
      <c r="C42" s="69">
        <v>9677.0</v>
      </c>
      <c r="D42" s="7">
        <f t="shared" si="2"/>
        <v>5806.2</v>
      </c>
      <c r="E42" s="7">
        <f t="shared" ref="E42:F42" si="44">if($D42&lt;15000,$D42*12/100,15000*12/100)</f>
        <v>696.744</v>
      </c>
      <c r="F42" s="7">
        <f t="shared" si="44"/>
        <v>696.744</v>
      </c>
      <c r="G42" s="7">
        <f t="shared" si="4"/>
        <v>1393.488</v>
      </c>
    </row>
    <row r="43">
      <c r="A43" s="8">
        <f t="shared" si="5"/>
        <v>42</v>
      </c>
      <c r="B43" s="81" t="s">
        <v>275</v>
      </c>
      <c r="C43" s="82">
        <v>12387.0</v>
      </c>
      <c r="D43" s="7">
        <f t="shared" si="2"/>
        <v>7432.2</v>
      </c>
      <c r="E43" s="7">
        <f t="shared" ref="E43:F43" si="45">if($D43&lt;15000,$D43*12/100,15000*12/100)</f>
        <v>891.864</v>
      </c>
      <c r="F43" s="7">
        <f t="shared" si="45"/>
        <v>891.864</v>
      </c>
      <c r="G43" s="7">
        <f t="shared" si="4"/>
        <v>1783.728</v>
      </c>
    </row>
    <row r="44">
      <c r="A44" s="8">
        <f t="shared" si="5"/>
        <v>43</v>
      </c>
      <c r="B44" s="83" t="s">
        <v>421</v>
      </c>
      <c r="C44" s="73">
        <v>14516.0</v>
      </c>
      <c r="D44" s="7">
        <f t="shared" si="2"/>
        <v>8709.6</v>
      </c>
      <c r="E44" s="7">
        <f t="shared" ref="E44:F44" si="46">if($D44&lt;15000,$D44*12/100,15000*12/100)</f>
        <v>1045.152</v>
      </c>
      <c r="F44" s="7">
        <f t="shared" si="46"/>
        <v>1045.152</v>
      </c>
      <c r="G44" s="7">
        <f t="shared" si="4"/>
        <v>2090.304</v>
      </c>
    </row>
    <row r="45">
      <c r="A45" s="8">
        <f t="shared" si="5"/>
        <v>44</v>
      </c>
      <c r="B45" s="30" t="s">
        <v>422</v>
      </c>
      <c r="C45" s="69">
        <v>26129.0</v>
      </c>
      <c r="D45" s="7">
        <f t="shared" si="2"/>
        <v>15677.4</v>
      </c>
      <c r="E45" s="7">
        <f t="shared" ref="E45:F45" si="47">if($D45&lt;15000,$D45*12/100,15000*12/100)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43" t="s">
        <v>423</v>
      </c>
      <c r="C46" s="84">
        <v>12581.0</v>
      </c>
      <c r="D46" s="7">
        <f t="shared" si="2"/>
        <v>7548.6</v>
      </c>
      <c r="E46" s="7">
        <f t="shared" ref="E46:F46" si="48">if($D46&lt;15000,$D46*12/100,15000*12/100)</f>
        <v>905.832</v>
      </c>
      <c r="F46" s="7">
        <f t="shared" si="48"/>
        <v>905.832</v>
      </c>
      <c r="G46" s="7">
        <f t="shared" si="4"/>
        <v>1811.664</v>
      </c>
    </row>
    <row r="47">
      <c r="A47" s="8">
        <f t="shared" si="5"/>
        <v>46</v>
      </c>
      <c r="B47" s="43" t="s">
        <v>443</v>
      </c>
      <c r="C47" s="84">
        <v>15000.0</v>
      </c>
      <c r="D47" s="7">
        <f t="shared" si="2"/>
        <v>9000</v>
      </c>
      <c r="E47" s="7">
        <f t="shared" ref="E47:F47" si="49">if($D47&lt;15000,$D47*12/100,15000*12/100)</f>
        <v>1080</v>
      </c>
      <c r="F47" s="7">
        <f t="shared" si="49"/>
        <v>1080</v>
      </c>
      <c r="G47" s="7">
        <f t="shared" si="4"/>
        <v>2160</v>
      </c>
    </row>
    <row r="48">
      <c r="A48" s="8">
        <f t="shared" si="5"/>
        <v>47</v>
      </c>
      <c r="B48" s="30" t="s">
        <v>425</v>
      </c>
      <c r="C48" s="69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</row>
    <row r="49">
      <c r="A49" s="8">
        <f t="shared" si="5"/>
        <v>48</v>
      </c>
      <c r="B49" s="30" t="s">
        <v>426</v>
      </c>
      <c r="C49" s="69">
        <v>21516.0</v>
      </c>
      <c r="D49" s="7">
        <f t="shared" si="2"/>
        <v>12909.6</v>
      </c>
      <c r="E49" s="7">
        <f t="shared" ref="E49:F49" si="51">if($D49&lt;15000,$D49*12/100,15000*12/100)</f>
        <v>1549.152</v>
      </c>
      <c r="F49" s="7">
        <f t="shared" si="51"/>
        <v>1549.152</v>
      </c>
      <c r="G49" s="7">
        <f t="shared" si="4"/>
        <v>3098.304</v>
      </c>
    </row>
    <row r="50">
      <c r="A50" s="8">
        <f t="shared" si="5"/>
        <v>49</v>
      </c>
      <c r="B50" s="78" t="s">
        <v>444</v>
      </c>
      <c r="C50" s="68">
        <v>15629.0</v>
      </c>
      <c r="D50" s="7">
        <f t="shared" si="2"/>
        <v>9377.4</v>
      </c>
      <c r="E50" s="7">
        <f t="shared" ref="E50:F50" si="52">if($D50&lt;15000,$D50*12/100,15000*12/100)</f>
        <v>1125.288</v>
      </c>
      <c r="F50" s="7">
        <f t="shared" si="52"/>
        <v>1125.288</v>
      </c>
      <c r="G50" s="7">
        <f t="shared" si="4"/>
        <v>2250.576</v>
      </c>
    </row>
    <row r="51">
      <c r="A51" s="8">
        <f t="shared" si="5"/>
        <v>50</v>
      </c>
      <c r="B51" s="85" t="s">
        <v>427</v>
      </c>
      <c r="C51" s="86">
        <v>15484.0</v>
      </c>
      <c r="D51" s="7">
        <f t="shared" si="2"/>
        <v>9290.4</v>
      </c>
      <c r="E51" s="7">
        <f t="shared" ref="E51:F51" si="53">if($D51&lt;15000,$D51*12/100,15000*12/100)</f>
        <v>1114.848</v>
      </c>
      <c r="F51" s="7">
        <f t="shared" si="53"/>
        <v>1114.848</v>
      </c>
      <c r="G51" s="7">
        <f t="shared" si="4"/>
        <v>2229.696</v>
      </c>
    </row>
    <row r="52">
      <c r="A52" s="8">
        <f t="shared" si="5"/>
        <v>51</v>
      </c>
      <c r="B52" s="30" t="s">
        <v>428</v>
      </c>
      <c r="C52" s="69">
        <v>31000.0</v>
      </c>
      <c r="D52" s="7">
        <f t="shared" si="2"/>
        <v>18600</v>
      </c>
      <c r="E52" s="7">
        <f t="shared" ref="E52:F52" si="54">if($D52&lt;15000,$D52*12/100,15000*12/100)</f>
        <v>1800</v>
      </c>
      <c r="F52" s="7">
        <f t="shared" si="54"/>
        <v>1800</v>
      </c>
      <c r="G52" s="7">
        <f t="shared" si="4"/>
        <v>3600</v>
      </c>
    </row>
    <row r="53">
      <c r="A53" s="8">
        <f t="shared" si="5"/>
        <v>52</v>
      </c>
      <c r="B53" s="30" t="s">
        <v>429</v>
      </c>
      <c r="C53" s="69">
        <v>58000.0</v>
      </c>
      <c r="D53" s="7">
        <f t="shared" si="2"/>
        <v>34800</v>
      </c>
      <c r="E53" s="7">
        <f t="shared" ref="E53:F53" si="55">if($D53&lt;15000,$D53*12/100,15000*12/100)</f>
        <v>1800</v>
      </c>
      <c r="F53" s="7">
        <f t="shared" si="55"/>
        <v>1800</v>
      </c>
      <c r="G53" s="7">
        <f t="shared" si="4"/>
        <v>3600</v>
      </c>
    </row>
    <row r="54">
      <c r="A54" s="8">
        <f t="shared" si="5"/>
        <v>53</v>
      </c>
      <c r="B54" s="78" t="s">
        <v>430</v>
      </c>
      <c r="C54" s="68">
        <v>18000.0</v>
      </c>
      <c r="D54" s="7">
        <f t="shared" si="2"/>
        <v>10800</v>
      </c>
      <c r="E54" s="7">
        <f t="shared" ref="E54:F54" si="56">if($D54&lt;15000,$D54*12/100,15000*12/100)</f>
        <v>1296</v>
      </c>
      <c r="F54" s="7">
        <f t="shared" si="56"/>
        <v>1296</v>
      </c>
      <c r="G54" s="7">
        <f t="shared" si="4"/>
        <v>2592</v>
      </c>
    </row>
    <row r="55">
      <c r="A55" s="8">
        <f t="shared" si="5"/>
        <v>54</v>
      </c>
      <c r="B55" s="87" t="s">
        <v>431</v>
      </c>
      <c r="C55" s="88">
        <v>11532.0</v>
      </c>
      <c r="D55" s="7">
        <f t="shared" si="2"/>
        <v>6919.2</v>
      </c>
      <c r="E55" s="7">
        <f t="shared" ref="E55:F55" si="57">if($D55&lt;15000,$D55*12/100,15000*12/100)</f>
        <v>830.304</v>
      </c>
      <c r="F55" s="7">
        <f t="shared" si="57"/>
        <v>830.304</v>
      </c>
      <c r="G55" s="7">
        <f t="shared" si="4"/>
        <v>1660.608</v>
      </c>
    </row>
    <row r="56">
      <c r="A56" s="8">
        <f t="shared" si="5"/>
        <v>55</v>
      </c>
      <c r="B56" s="30" t="s">
        <v>432</v>
      </c>
      <c r="C56" s="69">
        <v>17710.0</v>
      </c>
      <c r="D56" s="7">
        <f t="shared" si="2"/>
        <v>10626</v>
      </c>
      <c r="E56" s="7">
        <f t="shared" ref="E56:F56" si="58">if($D56&lt;15000,$D56*12/100,15000*12/100)</f>
        <v>1275.12</v>
      </c>
      <c r="F56" s="7">
        <f t="shared" si="58"/>
        <v>1275.12</v>
      </c>
      <c r="G56" s="7">
        <f t="shared" si="4"/>
        <v>2550.24</v>
      </c>
    </row>
    <row r="57">
      <c r="A57" s="8">
        <f t="shared" si="5"/>
        <v>56</v>
      </c>
      <c r="B57" s="89" t="s">
        <v>433</v>
      </c>
      <c r="C57" s="90">
        <v>15000.0</v>
      </c>
      <c r="D57" s="7">
        <f t="shared" si="2"/>
        <v>9000</v>
      </c>
      <c r="E57" s="7">
        <f t="shared" ref="E57:F57" si="59">if($D57&lt;15000,$D57*12/100,15000*12/100)</f>
        <v>1080</v>
      </c>
      <c r="F57" s="7">
        <f t="shared" si="59"/>
        <v>1080</v>
      </c>
      <c r="G57" s="7">
        <f t="shared" si="4"/>
        <v>2160</v>
      </c>
    </row>
    <row r="58">
      <c r="A58" s="8">
        <f t="shared" si="5"/>
        <v>57</v>
      </c>
      <c r="B58" s="91" t="s">
        <v>445</v>
      </c>
      <c r="C58" s="92">
        <v>17000.0</v>
      </c>
      <c r="D58" s="7">
        <f t="shared" si="2"/>
        <v>10200</v>
      </c>
      <c r="E58" s="7">
        <f t="shared" ref="E58:F58" si="60">if($D58&lt;15000,$D58*12/100,15000*12/100)</f>
        <v>1224</v>
      </c>
      <c r="F58" s="7">
        <f t="shared" si="60"/>
        <v>1224</v>
      </c>
      <c r="G58" s="7">
        <f t="shared" si="4"/>
        <v>2448</v>
      </c>
    </row>
    <row r="59">
      <c r="A59" s="8">
        <f t="shared" si="5"/>
        <v>58</v>
      </c>
      <c r="B59" s="30" t="s">
        <v>446</v>
      </c>
      <c r="C59" s="69">
        <v>17129.0</v>
      </c>
      <c r="D59" s="7">
        <f t="shared" si="2"/>
        <v>10277.4</v>
      </c>
      <c r="E59" s="7">
        <f t="shared" ref="E59:F59" si="61">if($D59&lt;15000,$D59*12/100,15000*12/100)</f>
        <v>1233.288</v>
      </c>
      <c r="F59" s="7">
        <f t="shared" si="61"/>
        <v>1233.288</v>
      </c>
      <c r="G59" s="7">
        <f t="shared" si="4"/>
        <v>2466.576</v>
      </c>
    </row>
    <row r="60">
      <c r="A60" s="8">
        <f t="shared" si="5"/>
        <v>59</v>
      </c>
      <c r="B60" s="30" t="s">
        <v>447</v>
      </c>
      <c r="C60" s="69">
        <v>17129.0</v>
      </c>
      <c r="D60" s="7">
        <f t="shared" si="2"/>
        <v>10277.4</v>
      </c>
      <c r="E60" s="7">
        <f t="shared" ref="E60:F60" si="62">if($D60&lt;15000,$D60*12/100,15000*12/100)</f>
        <v>1233.288</v>
      </c>
      <c r="F60" s="7">
        <f t="shared" si="62"/>
        <v>1233.288</v>
      </c>
      <c r="G60" s="7">
        <f t="shared" si="4"/>
        <v>2466.576</v>
      </c>
    </row>
    <row r="61">
      <c r="A61" s="8">
        <f t="shared" si="5"/>
        <v>60</v>
      </c>
      <c r="B61" s="30" t="s">
        <v>448</v>
      </c>
      <c r="C61" s="69">
        <v>42000.0</v>
      </c>
      <c r="D61" s="7">
        <f t="shared" si="2"/>
        <v>25200</v>
      </c>
      <c r="E61" s="7">
        <f t="shared" ref="E61:F61" si="63">if($D61&lt;15000,$D61*12/100,15000*12/100)</f>
        <v>1800</v>
      </c>
      <c r="F61" s="7">
        <f t="shared" si="63"/>
        <v>1800</v>
      </c>
      <c r="G61" s="7">
        <f t="shared" si="4"/>
        <v>3600</v>
      </c>
    </row>
    <row r="62">
      <c r="A62" s="8">
        <f t="shared" si="5"/>
        <v>61</v>
      </c>
      <c r="B62" s="30" t="s">
        <v>450</v>
      </c>
      <c r="C62" s="69">
        <v>41613.0</v>
      </c>
      <c r="D62" s="7">
        <f t="shared" si="2"/>
        <v>24967.8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30" t="s">
        <v>451</v>
      </c>
      <c r="C63" s="69">
        <v>36774.0</v>
      </c>
      <c r="D63" s="7">
        <f t="shared" si="2"/>
        <v>22064.4</v>
      </c>
      <c r="E63" s="7">
        <f t="shared" ref="E63:F63" si="65">if($D63&lt;15000,$D63*12/100,15000*12/100)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30" t="s">
        <v>452</v>
      </c>
      <c r="C64" s="69">
        <v>16000.0</v>
      </c>
      <c r="D64" s="7">
        <f t="shared" si="2"/>
        <v>9600</v>
      </c>
      <c r="E64" s="7">
        <f t="shared" ref="E64:F64" si="66">if($D64&lt;15000,$D64*12/100,15000*12/100)</f>
        <v>1152</v>
      </c>
      <c r="F64" s="7">
        <f t="shared" si="66"/>
        <v>1152</v>
      </c>
      <c r="G64" s="7">
        <f t="shared" si="4"/>
        <v>2304</v>
      </c>
    </row>
    <row r="65">
      <c r="A65" s="8">
        <f t="shared" si="5"/>
        <v>64</v>
      </c>
      <c r="B65" s="30" t="s">
        <v>453</v>
      </c>
      <c r="C65" s="69">
        <v>15000.0</v>
      </c>
      <c r="D65" s="7">
        <f t="shared" si="2"/>
        <v>9000</v>
      </c>
      <c r="E65" s="7">
        <f t="shared" ref="E65:F65" si="67">if($D65&lt;15000,$D65*12/100,15000*12/100)</f>
        <v>1080</v>
      </c>
      <c r="F65" s="7">
        <f t="shared" si="67"/>
        <v>1080</v>
      </c>
      <c r="G65" s="7">
        <f t="shared" si="4"/>
        <v>2160</v>
      </c>
    </row>
    <row r="66">
      <c r="A66" s="8">
        <f t="shared" si="5"/>
        <v>65</v>
      </c>
      <c r="B66" s="30" t="s">
        <v>454</v>
      </c>
      <c r="C66" s="69">
        <v>37000.0</v>
      </c>
      <c r="D66" s="7">
        <f t="shared" si="2"/>
        <v>22200</v>
      </c>
      <c r="E66" s="7">
        <f t="shared" ref="E66:F66" si="68">if($D66&lt;15000,$D66*12/100,15000*12/100)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30" t="s">
        <v>437</v>
      </c>
      <c r="C67" s="69">
        <v>23387.0</v>
      </c>
      <c r="D67" s="7">
        <f t="shared" si="2"/>
        <v>14032.2</v>
      </c>
      <c r="E67" s="7">
        <f t="shared" ref="E67:F67" si="69">if($D67&lt;15000,$D67*12/100,15000*12/100)</f>
        <v>1683.864</v>
      </c>
      <c r="F67" s="7">
        <f t="shared" si="69"/>
        <v>1683.864</v>
      </c>
      <c r="G67" s="7">
        <f t="shared" si="4"/>
        <v>3367.728</v>
      </c>
    </row>
    <row r="68">
      <c r="A68" s="8">
        <f t="shared" si="5"/>
        <v>67</v>
      </c>
      <c r="B68" s="30" t="s">
        <v>455</v>
      </c>
      <c r="C68" s="69">
        <v>25000.0</v>
      </c>
      <c r="D68" s="7">
        <f t="shared" si="2"/>
        <v>15000</v>
      </c>
      <c r="E68" s="7">
        <f t="shared" ref="E68:F68" si="70">if($D68&lt;15000,$D68*12/100,15000*12/100)</f>
        <v>1800</v>
      </c>
      <c r="F68" s="7">
        <f t="shared" si="70"/>
        <v>1800</v>
      </c>
      <c r="G68" s="7">
        <f t="shared" si="4"/>
        <v>3600</v>
      </c>
    </row>
    <row r="69">
      <c r="A69" s="8">
        <f t="shared" si="5"/>
        <v>68</v>
      </c>
      <c r="B69" s="93" t="s">
        <v>456</v>
      </c>
      <c r="C69" s="94">
        <v>16000.0</v>
      </c>
      <c r="D69" s="7">
        <f t="shared" si="2"/>
        <v>9600</v>
      </c>
      <c r="E69" s="7">
        <f t="shared" ref="E69:F69" si="71">if($D69&lt;15000,$D69*12/100,15000*12/100)</f>
        <v>1152</v>
      </c>
      <c r="F69" s="7">
        <f t="shared" si="71"/>
        <v>1152</v>
      </c>
      <c r="G69" s="7">
        <f t="shared" si="4"/>
        <v>2304</v>
      </c>
    </row>
    <row r="70">
      <c r="A70" s="8">
        <f t="shared" si="5"/>
        <v>69</v>
      </c>
      <c r="B70" s="95" t="s">
        <v>459</v>
      </c>
      <c r="C70" s="71">
        <v>8774.0</v>
      </c>
      <c r="D70" s="7">
        <f t="shared" si="2"/>
        <v>5264.4</v>
      </c>
      <c r="E70" s="7">
        <f t="shared" ref="E70:F70" si="72">if($D70&lt;15000,$D70*12/100,15000*12/100)</f>
        <v>631.728</v>
      </c>
      <c r="F70" s="7">
        <f t="shared" si="72"/>
        <v>631.728</v>
      </c>
      <c r="G70" s="7">
        <f t="shared" si="4"/>
        <v>1263.456</v>
      </c>
    </row>
    <row r="71">
      <c r="A71" s="8">
        <f t="shared" si="5"/>
        <v>70</v>
      </c>
      <c r="B71" s="30" t="s">
        <v>282</v>
      </c>
      <c r="C71" s="69">
        <v>9000.0</v>
      </c>
      <c r="D71" s="7">
        <f t="shared" si="2"/>
        <v>5400</v>
      </c>
      <c r="E71" s="7">
        <f t="shared" ref="E71:F71" si="73">if($D71&lt;15000,$D71*12/100,15000*12/100)</f>
        <v>648</v>
      </c>
      <c r="F71" s="7">
        <f t="shared" si="73"/>
        <v>648</v>
      </c>
      <c r="G71" s="7">
        <f t="shared" si="4"/>
        <v>1296</v>
      </c>
    </row>
    <row r="72">
      <c r="A72" s="8">
        <f t="shared" si="5"/>
        <v>71</v>
      </c>
      <c r="B72" s="30" t="s">
        <v>283</v>
      </c>
      <c r="C72" s="69">
        <v>7500.0</v>
      </c>
      <c r="D72" s="7">
        <f t="shared" si="2"/>
        <v>4500</v>
      </c>
      <c r="E72" s="7">
        <f t="shared" ref="E72:F72" si="74">if($D72&lt;15000,$D72*12/100,15000*12/100)</f>
        <v>540</v>
      </c>
      <c r="F72" s="7">
        <f t="shared" si="74"/>
        <v>540</v>
      </c>
      <c r="G72" s="7">
        <f t="shared" si="4"/>
        <v>1080</v>
      </c>
    </row>
    <row r="73">
      <c r="A73" s="8">
        <f t="shared" si="5"/>
        <v>72</v>
      </c>
      <c r="B73" s="30" t="s">
        <v>268</v>
      </c>
      <c r="C73" s="69">
        <v>6563.0</v>
      </c>
      <c r="D73" s="7">
        <f t="shared" si="2"/>
        <v>3937.8</v>
      </c>
      <c r="E73" s="7">
        <f t="shared" ref="E73:F73" si="75">if($D73&lt;15000,$D73*12/100,15000*12/100)</f>
        <v>472.536</v>
      </c>
      <c r="F73" s="7">
        <f t="shared" si="75"/>
        <v>472.536</v>
      </c>
      <c r="G73" s="7">
        <f t="shared" si="4"/>
        <v>945.072</v>
      </c>
    </row>
    <row r="74">
      <c r="A74" s="8">
        <f t="shared" si="5"/>
        <v>73</v>
      </c>
      <c r="B74" s="30" t="s">
        <v>285</v>
      </c>
      <c r="C74" s="69">
        <v>9000.0</v>
      </c>
      <c r="D74" s="7">
        <f t="shared" si="2"/>
        <v>5400</v>
      </c>
      <c r="E74" s="7">
        <f t="shared" ref="E74:F74" si="76">if($D74&lt;15000,$D74*12/100,15000*12/100)</f>
        <v>648</v>
      </c>
      <c r="F74" s="7">
        <f t="shared" si="76"/>
        <v>648</v>
      </c>
      <c r="G74" s="7">
        <f t="shared" si="4"/>
        <v>1296</v>
      </c>
    </row>
    <row r="75">
      <c r="A75" s="8">
        <f t="shared" si="5"/>
        <v>74</v>
      </c>
      <c r="B75" s="30" t="s">
        <v>457</v>
      </c>
      <c r="C75" s="69">
        <v>8000.0</v>
      </c>
      <c r="D75" s="7">
        <f t="shared" si="2"/>
        <v>4800</v>
      </c>
      <c r="E75" s="7">
        <f t="shared" ref="E75:F75" si="77">if($D75&lt;15000,$D75*12/100,15000*12/100)</f>
        <v>576</v>
      </c>
      <c r="F75" s="7">
        <f t="shared" si="77"/>
        <v>576</v>
      </c>
      <c r="G75" s="7">
        <f t="shared" si="4"/>
        <v>1152</v>
      </c>
    </row>
    <row r="76">
      <c r="A76" s="8">
        <f t="shared" si="5"/>
        <v>75</v>
      </c>
      <c r="B76" s="30" t="s">
        <v>385</v>
      </c>
      <c r="C76" s="69">
        <v>11226.0</v>
      </c>
      <c r="D76" s="7">
        <f t="shared" si="2"/>
        <v>6735.6</v>
      </c>
      <c r="E76" s="7">
        <f t="shared" ref="E76:F76" si="78">if($D76&lt;15000,$D76*12/100,15000*12/100)</f>
        <v>808.272</v>
      </c>
      <c r="F76" s="7">
        <f t="shared" si="78"/>
        <v>808.272</v>
      </c>
      <c r="G76" s="7">
        <f t="shared" si="4"/>
        <v>1616.544</v>
      </c>
    </row>
    <row r="77">
      <c r="A77" s="8">
        <f t="shared" si="5"/>
        <v>76</v>
      </c>
      <c r="B77" s="30" t="s">
        <v>384</v>
      </c>
      <c r="C77" s="69">
        <v>30000.0</v>
      </c>
      <c r="D77" s="7">
        <f t="shared" si="2"/>
        <v>18000</v>
      </c>
      <c r="E77" s="7">
        <f t="shared" ref="E77:F77" si="79">if($D77&lt;15000,$D77*12/100,15000*12/100)</f>
        <v>1800</v>
      </c>
      <c r="F77" s="7">
        <f t="shared" si="79"/>
        <v>1800</v>
      </c>
      <c r="G77" s="7">
        <f t="shared" si="4"/>
        <v>3600</v>
      </c>
    </row>
    <row r="78">
      <c r="A78" s="8">
        <f t="shared" si="5"/>
        <v>77</v>
      </c>
      <c r="B78" s="30" t="s">
        <v>282</v>
      </c>
      <c r="C78" s="69">
        <v>19677.0</v>
      </c>
      <c r="D78" s="7">
        <f t="shared" si="2"/>
        <v>11806.2</v>
      </c>
      <c r="E78" s="7">
        <f t="shared" ref="E78:F78" si="80">if($D78&lt;15000,$D78*12/100,15000*12/100)</f>
        <v>1416.744</v>
      </c>
      <c r="F78" s="7">
        <f t="shared" si="80"/>
        <v>1416.744</v>
      </c>
      <c r="G78" s="7">
        <f t="shared" si="4"/>
        <v>2833.488</v>
      </c>
    </row>
    <row r="79">
      <c r="A79" s="8">
        <f t="shared" si="5"/>
        <v>78</v>
      </c>
      <c r="B79" s="30" t="s">
        <v>386</v>
      </c>
      <c r="C79" s="69">
        <v>22177.0</v>
      </c>
      <c r="D79" s="7">
        <f t="shared" si="2"/>
        <v>13306.2</v>
      </c>
      <c r="E79" s="7">
        <f t="shared" ref="E79:F79" si="81">if($D79&lt;15000,$D79*12/100,15000*12/100)</f>
        <v>1596.744</v>
      </c>
      <c r="F79" s="7">
        <f t="shared" si="81"/>
        <v>1596.744</v>
      </c>
      <c r="G79" s="7">
        <f t="shared" si="4"/>
        <v>3193.488</v>
      </c>
    </row>
    <row r="80">
      <c r="A80" s="8">
        <f t="shared" si="5"/>
        <v>79</v>
      </c>
      <c r="B80" s="30" t="s">
        <v>261</v>
      </c>
      <c r="C80" s="69">
        <v>16452.0</v>
      </c>
      <c r="D80" s="7">
        <f t="shared" si="2"/>
        <v>9871.2</v>
      </c>
      <c r="E80" s="7">
        <f t="shared" ref="E80:F80" si="82">if($D80&lt;15000,$D80*12/100,15000*12/100)</f>
        <v>1184.544</v>
      </c>
      <c r="F80" s="7">
        <f t="shared" si="82"/>
        <v>1184.544</v>
      </c>
      <c r="G80" s="7">
        <f t="shared" si="4"/>
        <v>2369.088</v>
      </c>
    </row>
    <row r="81">
      <c r="A81" s="8">
        <f t="shared" si="5"/>
        <v>80</v>
      </c>
      <c r="B81" s="30" t="s">
        <v>262</v>
      </c>
      <c r="C81" s="69">
        <v>13548.0</v>
      </c>
      <c r="D81" s="7">
        <f t="shared" si="2"/>
        <v>8128.8</v>
      </c>
      <c r="E81" s="7">
        <f t="shared" ref="E81:F81" si="83">if($D81&lt;15000,$D81*12/100,15000*12/100)</f>
        <v>975.456</v>
      </c>
      <c r="F81" s="7">
        <f t="shared" si="83"/>
        <v>975.456</v>
      </c>
      <c r="G81" s="7">
        <f t="shared" si="4"/>
        <v>1950.912</v>
      </c>
    </row>
    <row r="82">
      <c r="A82" s="8">
        <f t="shared" si="5"/>
        <v>81</v>
      </c>
      <c r="B82" s="30" t="s">
        <v>263</v>
      </c>
      <c r="C82" s="69">
        <v>15387.0</v>
      </c>
      <c r="D82" s="7">
        <f t="shared" si="2"/>
        <v>9232.2</v>
      </c>
      <c r="E82" s="7">
        <f t="shared" ref="E82:F82" si="84">if($D82&lt;15000,$D82*12/100,15000*12/100)</f>
        <v>1107.864</v>
      </c>
      <c r="F82" s="7">
        <f t="shared" si="84"/>
        <v>1107.864</v>
      </c>
      <c r="G82" s="7">
        <f t="shared" si="4"/>
        <v>2215.728</v>
      </c>
    </row>
    <row r="83">
      <c r="A83" s="8">
        <f t="shared" si="5"/>
        <v>82</v>
      </c>
      <c r="B83" s="30" t="s">
        <v>389</v>
      </c>
      <c r="C83" s="69">
        <v>19032.0</v>
      </c>
      <c r="D83" s="7">
        <f t="shared" si="2"/>
        <v>11419.2</v>
      </c>
      <c r="E83" s="7">
        <f t="shared" ref="E83:F83" si="85">if($D83&lt;15000,$D83*12/100,15000*12/100)</f>
        <v>1370.304</v>
      </c>
      <c r="F83" s="7">
        <f t="shared" si="85"/>
        <v>1370.304</v>
      </c>
      <c r="G83" s="7">
        <f t="shared" si="4"/>
        <v>2740.608</v>
      </c>
    </row>
    <row r="84">
      <c r="A84" s="8">
        <f t="shared" si="5"/>
        <v>83</v>
      </c>
      <c r="B84" s="30" t="s">
        <v>458</v>
      </c>
      <c r="C84" s="69">
        <v>25000.0</v>
      </c>
      <c r="D84" s="7">
        <f t="shared" si="2"/>
        <v>15000</v>
      </c>
      <c r="E84" s="7">
        <f t="shared" ref="E84:F84" si="86">if($D84&lt;15000,$D84*12/100,15000*12/100)</f>
        <v>1800</v>
      </c>
      <c r="F84" s="7">
        <f t="shared" si="86"/>
        <v>1800</v>
      </c>
      <c r="G84" s="7">
        <f t="shared" si="4"/>
        <v>3600</v>
      </c>
    </row>
    <row r="85">
      <c r="A85" s="8">
        <f t="shared" si="5"/>
        <v>84</v>
      </c>
      <c r="B85" s="30" t="s">
        <v>438</v>
      </c>
      <c r="C85" s="69">
        <v>19000.0</v>
      </c>
      <c r="D85" s="7">
        <f t="shared" si="2"/>
        <v>11400</v>
      </c>
      <c r="E85" s="7">
        <f t="shared" ref="E85:F85" si="87">if($D85&lt;15000,$D85*12/100,15000*12/100)</f>
        <v>1368</v>
      </c>
      <c r="F85" s="7">
        <f t="shared" si="87"/>
        <v>1368</v>
      </c>
      <c r="G85" s="7">
        <f t="shared" si="4"/>
        <v>2736</v>
      </c>
    </row>
    <row r="86">
      <c r="A86" s="8">
        <f t="shared" si="5"/>
        <v>85</v>
      </c>
      <c r="B86" s="30" t="s">
        <v>439</v>
      </c>
      <c r="C86" s="69">
        <v>23790.0</v>
      </c>
      <c r="D86" s="7">
        <f t="shared" si="2"/>
        <v>14274</v>
      </c>
      <c r="E86" s="7">
        <f t="shared" ref="E86:F86" si="88">if($D86&lt;15000,$D86*12/100,15000*12/100)</f>
        <v>1712.88</v>
      </c>
      <c r="F86" s="7">
        <f t="shared" si="88"/>
        <v>1712.88</v>
      </c>
      <c r="G86" s="7">
        <f t="shared" si="4"/>
        <v>3425.76</v>
      </c>
    </row>
    <row r="87">
      <c r="A87" s="8">
        <f t="shared" si="5"/>
        <v>86</v>
      </c>
      <c r="B87" s="30" t="s">
        <v>460</v>
      </c>
      <c r="C87" s="69">
        <v>24000.0</v>
      </c>
      <c r="D87" s="7">
        <f t="shared" si="2"/>
        <v>14400</v>
      </c>
      <c r="E87" s="7">
        <f t="shared" ref="E87:F87" si="89">if($D87&lt;15000,$D87*12/100,15000*12/100)</f>
        <v>1728</v>
      </c>
      <c r="F87" s="7">
        <f t="shared" si="89"/>
        <v>1728</v>
      </c>
      <c r="G87" s="7">
        <f t="shared" si="4"/>
        <v>3456</v>
      </c>
    </row>
    <row r="88">
      <c r="A88" s="8">
        <f t="shared" si="5"/>
        <v>87</v>
      </c>
      <c r="B88" s="30" t="s">
        <v>440</v>
      </c>
      <c r="C88" s="69">
        <v>25000.0</v>
      </c>
      <c r="D88" s="7">
        <f t="shared" si="2"/>
        <v>15000</v>
      </c>
      <c r="E88" s="7">
        <f t="shared" ref="E88:F88" si="90">if($D88&lt;15000,$D88*12/100,15000*12/100)</f>
        <v>1800</v>
      </c>
      <c r="F88" s="7">
        <f t="shared" si="90"/>
        <v>1800</v>
      </c>
      <c r="G88" s="7">
        <f t="shared" si="4"/>
        <v>3600</v>
      </c>
    </row>
    <row r="89">
      <c r="A89" s="8">
        <f t="shared" si="5"/>
        <v>88</v>
      </c>
      <c r="B89" s="30" t="s">
        <v>441</v>
      </c>
      <c r="C89" s="69">
        <v>24194.0</v>
      </c>
      <c r="D89" s="7">
        <f t="shared" si="2"/>
        <v>14516.4</v>
      </c>
      <c r="E89" s="7">
        <f t="shared" ref="E89:F89" si="91">if($D89&lt;15000,$D89*12/100,15000*12/100)</f>
        <v>1741.968</v>
      </c>
      <c r="F89" s="7">
        <f t="shared" si="91"/>
        <v>1741.968</v>
      </c>
      <c r="G89" s="7">
        <f t="shared" si="4"/>
        <v>3483.936</v>
      </c>
    </row>
    <row r="90">
      <c r="A90" s="9" t="s">
        <v>34</v>
      </c>
      <c r="B90" s="10"/>
      <c r="C90" s="11">
        <f t="shared" ref="C90:G90" si="92">sum(C2:C89)</f>
        <v>2022845</v>
      </c>
      <c r="D90" s="11">
        <f t="shared" si="92"/>
        <v>1213707</v>
      </c>
      <c r="E90" s="11">
        <f t="shared" si="92"/>
        <v>125629.416</v>
      </c>
      <c r="F90" s="11">
        <f t="shared" si="92"/>
        <v>125629.416</v>
      </c>
      <c r="G90" s="11">
        <f t="shared" si="92"/>
        <v>251258.832</v>
      </c>
    </row>
  </sheetData>
  <mergeCells count="1">
    <mergeCell ref="A90:B90"/>
  </mergeCells>
  <hyperlinks>
    <hyperlink r:id="rId1" ref="A1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381</v>
      </c>
      <c r="C2" s="96">
        <v>81000.0</v>
      </c>
      <c r="D2" s="7">
        <f t="shared" ref="D2:D92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2" si="4">E2+F2</f>
        <v>3600</v>
      </c>
    </row>
    <row r="3">
      <c r="A3" s="8">
        <f t="shared" ref="A3:A92" si="5">A2+1</f>
        <v>2</v>
      </c>
      <c r="B3" s="46" t="s">
        <v>195</v>
      </c>
      <c r="C3" s="96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46" t="s">
        <v>203</v>
      </c>
      <c r="C4" s="96">
        <v>38000.0</v>
      </c>
      <c r="D4" s="7">
        <f t="shared" si="2"/>
        <v>22800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200</v>
      </c>
      <c r="C5" s="96">
        <v>37000.0</v>
      </c>
      <c r="D5" s="7">
        <f t="shared" si="2"/>
        <v>22200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46" t="s">
        <v>382</v>
      </c>
      <c r="C6" s="96">
        <v>8516.0</v>
      </c>
      <c r="D6" s="7">
        <f t="shared" si="2"/>
        <v>5109.6</v>
      </c>
      <c r="E6" s="7">
        <f t="shared" ref="E6:F6" si="8">if($D6&lt;15000,$D6*12/100,15000*12/100)</f>
        <v>613.152</v>
      </c>
      <c r="F6" s="7">
        <f t="shared" si="8"/>
        <v>613.152</v>
      </c>
      <c r="G6" s="7">
        <f t="shared" si="4"/>
        <v>1226.304</v>
      </c>
    </row>
    <row r="7">
      <c r="A7" s="8">
        <f t="shared" si="5"/>
        <v>6</v>
      </c>
      <c r="B7" s="46" t="s">
        <v>231</v>
      </c>
      <c r="C7" s="96">
        <v>27000.0</v>
      </c>
      <c r="D7" s="7">
        <f t="shared" si="2"/>
        <v>16200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46" t="s">
        <v>236</v>
      </c>
      <c r="C8" s="96">
        <v>19000.0</v>
      </c>
      <c r="D8" s="7">
        <f t="shared" si="2"/>
        <v>11400</v>
      </c>
      <c r="E8" s="7">
        <f t="shared" ref="E8:F8" si="10">if($D8&lt;15000,$D8*12/100,15000*12/100)</f>
        <v>1368</v>
      </c>
      <c r="F8" s="7">
        <f t="shared" si="10"/>
        <v>1368</v>
      </c>
      <c r="G8" s="7">
        <f t="shared" si="4"/>
        <v>2736</v>
      </c>
    </row>
    <row r="9">
      <c r="A9" s="8">
        <f t="shared" si="5"/>
        <v>8</v>
      </c>
      <c r="B9" s="46" t="s">
        <v>221</v>
      </c>
      <c r="C9" s="96">
        <v>27000.0</v>
      </c>
      <c r="D9" s="7">
        <f t="shared" si="2"/>
        <v>16200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46" t="s">
        <v>201</v>
      </c>
      <c r="C10" s="96">
        <v>30000.0</v>
      </c>
      <c r="D10" s="7">
        <f t="shared" si="2"/>
        <v>18000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46" t="s">
        <v>213</v>
      </c>
      <c r="C11" s="96">
        <v>25161.0</v>
      </c>
      <c r="D11" s="7">
        <f t="shared" si="2"/>
        <v>15096.6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46" t="s">
        <v>208</v>
      </c>
      <c r="C12" s="96">
        <v>33000.0</v>
      </c>
      <c r="D12" s="7">
        <f t="shared" si="2"/>
        <v>19800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46" t="s">
        <v>248</v>
      </c>
      <c r="C13" s="96">
        <v>29935.0</v>
      </c>
      <c r="D13" s="7">
        <f t="shared" si="2"/>
        <v>17961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46" t="s">
        <v>202</v>
      </c>
      <c r="C14" s="96">
        <v>28065.0</v>
      </c>
      <c r="D14" s="7">
        <f t="shared" si="2"/>
        <v>16839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97" t="s">
        <v>209</v>
      </c>
      <c r="C15" s="98">
        <v>38000.0</v>
      </c>
      <c r="D15" s="7">
        <f t="shared" si="2"/>
        <v>22800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46" t="s">
        <v>214</v>
      </c>
      <c r="C16" s="96">
        <v>27097.0</v>
      </c>
      <c r="D16" s="7">
        <f t="shared" si="2"/>
        <v>16258.2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46" t="s">
        <v>206</v>
      </c>
      <c r="C17" s="96">
        <v>27097.0</v>
      </c>
      <c r="D17" s="7">
        <f t="shared" si="2"/>
        <v>16258.2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46" t="s">
        <v>414</v>
      </c>
      <c r="C18" s="96">
        <v>22258.0</v>
      </c>
      <c r="D18" s="7">
        <f t="shared" si="2"/>
        <v>13354.8</v>
      </c>
      <c r="E18" s="7">
        <f t="shared" ref="E18:F18" si="20">if($D18&lt;15000,$D18*12/100,15000*12/100)</f>
        <v>1602.576</v>
      </c>
      <c r="F18" s="7">
        <f t="shared" si="20"/>
        <v>1602.576</v>
      </c>
      <c r="G18" s="7">
        <f t="shared" si="4"/>
        <v>3205.152</v>
      </c>
    </row>
    <row r="19">
      <c r="A19" s="8">
        <f t="shared" si="5"/>
        <v>18</v>
      </c>
      <c r="B19" s="46" t="s">
        <v>210</v>
      </c>
      <c r="C19" s="96">
        <v>33000.0</v>
      </c>
      <c r="D19" s="7">
        <f t="shared" si="2"/>
        <v>19800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46" t="s">
        <v>442</v>
      </c>
      <c r="C20" s="96">
        <v>32500.0</v>
      </c>
      <c r="D20" s="7">
        <f t="shared" si="2"/>
        <v>19500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46" t="s">
        <v>212</v>
      </c>
      <c r="C21" s="96">
        <v>28500.0</v>
      </c>
      <c r="D21" s="7">
        <f t="shared" si="2"/>
        <v>17100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46" t="s">
        <v>252</v>
      </c>
      <c r="C22" s="96">
        <v>23000.0</v>
      </c>
      <c r="D22" s="7">
        <f t="shared" si="2"/>
        <v>13800</v>
      </c>
      <c r="E22" s="7">
        <f t="shared" ref="E22:F22" si="24">if($D22&lt;15000,$D22*12/100,15000*12/100)</f>
        <v>1656</v>
      </c>
      <c r="F22" s="7">
        <f t="shared" si="24"/>
        <v>1656</v>
      </c>
      <c r="G22" s="7">
        <f t="shared" si="4"/>
        <v>3312</v>
      </c>
    </row>
    <row r="23">
      <c r="A23" s="8">
        <f t="shared" si="5"/>
        <v>22</v>
      </c>
      <c r="B23" s="46" t="s">
        <v>249</v>
      </c>
      <c r="C23" s="96">
        <v>17129.0</v>
      </c>
      <c r="D23" s="7">
        <f t="shared" si="2"/>
        <v>10277.4</v>
      </c>
      <c r="E23" s="7">
        <f t="shared" ref="E23:F23" si="25">if($D23&lt;15000,$D23*12/100,15000*12/100)</f>
        <v>1233.288</v>
      </c>
      <c r="F23" s="7">
        <f t="shared" si="25"/>
        <v>1233.288</v>
      </c>
      <c r="G23" s="7">
        <f t="shared" si="4"/>
        <v>2466.576</v>
      </c>
    </row>
    <row r="24">
      <c r="A24" s="8">
        <f t="shared" si="5"/>
        <v>23</v>
      </c>
      <c r="B24" s="46" t="s">
        <v>223</v>
      </c>
      <c r="C24" s="96">
        <v>22177.0</v>
      </c>
      <c r="D24" s="7">
        <f t="shared" si="2"/>
        <v>13306.2</v>
      </c>
      <c r="E24" s="7">
        <f t="shared" ref="E24:F24" si="26">if($D24&lt;15000,$D24*12/100,15000*12/100)</f>
        <v>1596.744</v>
      </c>
      <c r="F24" s="7">
        <f t="shared" si="26"/>
        <v>1596.744</v>
      </c>
      <c r="G24" s="7">
        <f t="shared" si="4"/>
        <v>3193.488</v>
      </c>
    </row>
    <row r="25">
      <c r="A25" s="8">
        <f t="shared" si="5"/>
        <v>24</v>
      </c>
      <c r="B25" s="46" t="s">
        <v>416</v>
      </c>
      <c r="C25" s="96">
        <v>27097.0</v>
      </c>
      <c r="D25" s="7">
        <f t="shared" si="2"/>
        <v>16258.2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46" t="s">
        <v>417</v>
      </c>
      <c r="C26" s="96">
        <v>25000.0</v>
      </c>
      <c r="D26" s="7">
        <f t="shared" si="2"/>
        <v>15000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46" t="s">
        <v>216</v>
      </c>
      <c r="C27" s="96">
        <v>27000.0</v>
      </c>
      <c r="D27" s="7">
        <f t="shared" si="2"/>
        <v>16200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46" t="s">
        <v>277</v>
      </c>
      <c r="C28" s="96">
        <v>16000.0</v>
      </c>
      <c r="D28" s="7">
        <f t="shared" si="2"/>
        <v>9600</v>
      </c>
      <c r="E28" s="7">
        <f t="shared" ref="E28:F28" si="30">if($D28&lt;15000,$D28*12/100,15000*12/100)</f>
        <v>1152</v>
      </c>
      <c r="F28" s="7">
        <f t="shared" si="30"/>
        <v>1152</v>
      </c>
      <c r="G28" s="7">
        <f t="shared" si="4"/>
        <v>2304</v>
      </c>
    </row>
    <row r="29">
      <c r="A29" s="8">
        <f t="shared" si="5"/>
        <v>28</v>
      </c>
      <c r="B29" s="46" t="s">
        <v>258</v>
      </c>
      <c r="C29" s="96">
        <v>18710.0</v>
      </c>
      <c r="D29" s="7">
        <f t="shared" si="2"/>
        <v>11226</v>
      </c>
      <c r="E29" s="7">
        <f t="shared" ref="E29:F29" si="31">if($D29&lt;15000,$D29*12/100,15000*12/100)</f>
        <v>1347.12</v>
      </c>
      <c r="F29" s="7">
        <f t="shared" si="31"/>
        <v>1347.12</v>
      </c>
      <c r="G29" s="7">
        <f t="shared" si="4"/>
        <v>2694.24</v>
      </c>
    </row>
    <row r="30">
      <c r="A30" s="8">
        <f t="shared" si="5"/>
        <v>29</v>
      </c>
      <c r="B30" s="46" t="s">
        <v>279</v>
      </c>
      <c r="C30" s="96">
        <v>21290.0</v>
      </c>
      <c r="D30" s="7">
        <f t="shared" si="2"/>
        <v>12774</v>
      </c>
      <c r="E30" s="7">
        <f t="shared" ref="E30:F30" si="32">if($D30&lt;15000,$D30*12/100,15000*12/100)</f>
        <v>1532.88</v>
      </c>
      <c r="F30" s="7">
        <f t="shared" si="32"/>
        <v>1532.88</v>
      </c>
      <c r="G30" s="7">
        <f t="shared" si="4"/>
        <v>3065.76</v>
      </c>
    </row>
    <row r="31">
      <c r="A31" s="8">
        <f t="shared" si="5"/>
        <v>30</v>
      </c>
      <c r="B31" s="46" t="s">
        <v>217</v>
      </c>
      <c r="C31" s="96">
        <v>20774.0</v>
      </c>
      <c r="D31" s="7">
        <f t="shared" si="2"/>
        <v>12464.4</v>
      </c>
      <c r="E31" s="7">
        <f t="shared" ref="E31:F31" si="33">if($D31&lt;15000,$D31*12/100,15000*12/100)</f>
        <v>1495.728</v>
      </c>
      <c r="F31" s="7">
        <f t="shared" si="33"/>
        <v>1495.728</v>
      </c>
      <c r="G31" s="7">
        <f t="shared" si="4"/>
        <v>2991.456</v>
      </c>
    </row>
    <row r="32">
      <c r="A32" s="8">
        <f t="shared" si="5"/>
        <v>31</v>
      </c>
      <c r="B32" s="46" t="s">
        <v>245</v>
      </c>
      <c r="C32" s="96">
        <v>17710.0</v>
      </c>
      <c r="D32" s="7">
        <f t="shared" si="2"/>
        <v>10626</v>
      </c>
      <c r="E32" s="7">
        <f t="shared" ref="E32:F32" si="34">if($D32&lt;15000,$D32*12/100,15000*12/100)</f>
        <v>1275.12</v>
      </c>
      <c r="F32" s="7">
        <f t="shared" si="34"/>
        <v>1275.12</v>
      </c>
      <c r="G32" s="7">
        <f t="shared" si="4"/>
        <v>2550.24</v>
      </c>
    </row>
    <row r="33">
      <c r="A33" s="8">
        <f t="shared" si="5"/>
        <v>32</v>
      </c>
      <c r="B33" s="97" t="s">
        <v>244</v>
      </c>
      <c r="C33" s="98">
        <v>23355.0</v>
      </c>
      <c r="D33" s="7">
        <f t="shared" si="2"/>
        <v>14013</v>
      </c>
      <c r="E33" s="7">
        <f t="shared" ref="E33:F33" si="35">if($D33&lt;15000,$D33*12/100,15000*12/100)</f>
        <v>1681.56</v>
      </c>
      <c r="F33" s="7">
        <f t="shared" si="35"/>
        <v>1681.56</v>
      </c>
      <c r="G33" s="7">
        <f t="shared" si="4"/>
        <v>3363.12</v>
      </c>
    </row>
    <row r="34">
      <c r="A34" s="8">
        <f t="shared" si="5"/>
        <v>33</v>
      </c>
      <c r="B34" s="46" t="s">
        <v>228</v>
      </c>
      <c r="C34" s="96">
        <v>18000.0</v>
      </c>
      <c r="D34" s="7">
        <f t="shared" si="2"/>
        <v>10800</v>
      </c>
      <c r="E34" s="7">
        <f t="shared" ref="E34:F34" si="36">if($D34&lt;15000,$D34*12/100,15000*12/100)</f>
        <v>1296</v>
      </c>
      <c r="F34" s="7">
        <f t="shared" si="36"/>
        <v>1296</v>
      </c>
      <c r="G34" s="7">
        <f t="shared" si="4"/>
        <v>2592</v>
      </c>
    </row>
    <row r="35">
      <c r="A35" s="8">
        <f t="shared" si="5"/>
        <v>34</v>
      </c>
      <c r="B35" s="46" t="s">
        <v>243</v>
      </c>
      <c r="C35" s="96">
        <v>14968.0</v>
      </c>
      <c r="D35" s="7">
        <f t="shared" si="2"/>
        <v>8980.8</v>
      </c>
      <c r="E35" s="7">
        <f t="shared" ref="E35:F35" si="37">if($D35&lt;15000,$D35*12/100,15000*12/100)</f>
        <v>1077.696</v>
      </c>
      <c r="F35" s="7">
        <f t="shared" si="37"/>
        <v>1077.696</v>
      </c>
      <c r="G35" s="7">
        <f t="shared" si="4"/>
        <v>2155.392</v>
      </c>
    </row>
    <row r="36">
      <c r="A36" s="8">
        <f t="shared" si="5"/>
        <v>35</v>
      </c>
      <c r="B36" s="46" t="s">
        <v>227</v>
      </c>
      <c r="C36" s="96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</row>
    <row r="37">
      <c r="A37" s="8">
        <f t="shared" si="5"/>
        <v>36</v>
      </c>
      <c r="B37" s="46" t="s">
        <v>377</v>
      </c>
      <c r="C37" s="96">
        <v>13177.0</v>
      </c>
      <c r="D37" s="7">
        <f t="shared" si="2"/>
        <v>7906.2</v>
      </c>
      <c r="E37" s="7">
        <f t="shared" ref="E37:F37" si="39">if($D37&lt;15000,$D37*12/100,15000*12/100)</f>
        <v>948.744</v>
      </c>
      <c r="F37" s="7">
        <f t="shared" si="39"/>
        <v>948.744</v>
      </c>
      <c r="G37" s="7">
        <f t="shared" si="4"/>
        <v>1897.488</v>
      </c>
    </row>
    <row r="38">
      <c r="A38" s="8">
        <f t="shared" si="5"/>
        <v>37</v>
      </c>
      <c r="B38" s="40" t="s">
        <v>419</v>
      </c>
      <c r="C38" s="96">
        <v>16000.0</v>
      </c>
      <c r="D38" s="7">
        <f t="shared" si="2"/>
        <v>9600</v>
      </c>
      <c r="E38" s="7">
        <f t="shared" ref="E38:F38" si="40">if($D38&lt;15000,$D38*12/100,15000*12/100)</f>
        <v>1152</v>
      </c>
      <c r="F38" s="7">
        <f t="shared" si="40"/>
        <v>1152</v>
      </c>
      <c r="G38" s="7">
        <f t="shared" si="4"/>
        <v>2304</v>
      </c>
    </row>
    <row r="39">
      <c r="A39" s="8">
        <f t="shared" si="5"/>
        <v>38</v>
      </c>
      <c r="B39" s="40" t="s">
        <v>220</v>
      </c>
      <c r="C39" s="96">
        <v>27500.0</v>
      </c>
      <c r="D39" s="7">
        <f t="shared" si="2"/>
        <v>16500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40" t="s">
        <v>235</v>
      </c>
      <c r="C40" s="96">
        <v>21645.0</v>
      </c>
      <c r="D40" s="7">
        <f t="shared" si="2"/>
        <v>12987</v>
      </c>
      <c r="E40" s="7">
        <f t="shared" ref="E40:F40" si="42">if($D40&lt;15000,$D40*12/100,15000*12/100)</f>
        <v>1558.44</v>
      </c>
      <c r="F40" s="7">
        <f t="shared" si="42"/>
        <v>1558.44</v>
      </c>
      <c r="G40" s="7">
        <f t="shared" si="4"/>
        <v>3116.88</v>
      </c>
    </row>
    <row r="41">
      <c r="A41" s="8">
        <f t="shared" si="5"/>
        <v>40</v>
      </c>
      <c r="B41" s="40" t="s">
        <v>273</v>
      </c>
      <c r="C41" s="96">
        <v>1935.0</v>
      </c>
      <c r="D41" s="7">
        <f t="shared" si="2"/>
        <v>1161</v>
      </c>
      <c r="E41" s="7">
        <f t="shared" ref="E41:F41" si="43">if($D41&lt;15000,$D41*12/100,15000*12/100)</f>
        <v>139.32</v>
      </c>
      <c r="F41" s="7">
        <f t="shared" si="43"/>
        <v>139.32</v>
      </c>
      <c r="G41" s="7">
        <f t="shared" si="4"/>
        <v>278.64</v>
      </c>
    </row>
    <row r="42">
      <c r="A42" s="8">
        <f t="shared" si="5"/>
        <v>41</v>
      </c>
      <c r="B42" s="40" t="s">
        <v>275</v>
      </c>
      <c r="C42" s="96">
        <v>16000.0</v>
      </c>
      <c r="D42" s="7">
        <f t="shared" si="2"/>
        <v>9600</v>
      </c>
      <c r="E42" s="7">
        <f t="shared" ref="E42:F42" si="44">if($D42&lt;15000,$D42*12/100,15000*12/100)</f>
        <v>1152</v>
      </c>
      <c r="F42" s="7">
        <f t="shared" si="44"/>
        <v>1152</v>
      </c>
      <c r="G42" s="7">
        <f t="shared" si="4"/>
        <v>2304</v>
      </c>
    </row>
    <row r="43">
      <c r="A43" s="8">
        <f t="shared" si="5"/>
        <v>42</v>
      </c>
      <c r="B43" s="40" t="s">
        <v>421</v>
      </c>
      <c r="C43" s="96">
        <v>15000.0</v>
      </c>
      <c r="D43" s="7">
        <f t="shared" si="2"/>
        <v>9000</v>
      </c>
      <c r="E43" s="7">
        <f t="shared" ref="E43:F43" si="45">if($D43&lt;15000,$D43*12/100,15000*12/100)</f>
        <v>1080</v>
      </c>
      <c r="F43" s="7">
        <f t="shared" si="45"/>
        <v>1080</v>
      </c>
      <c r="G43" s="7">
        <f t="shared" si="4"/>
        <v>2160</v>
      </c>
    </row>
    <row r="44">
      <c r="A44" s="8">
        <f t="shared" si="5"/>
        <v>43</v>
      </c>
      <c r="B44" s="40" t="s">
        <v>422</v>
      </c>
      <c r="C44" s="96">
        <v>26129.0</v>
      </c>
      <c r="D44" s="7">
        <f t="shared" si="2"/>
        <v>15677.4</v>
      </c>
      <c r="E44" s="7">
        <f t="shared" ref="E44:F44" si="46">if($D44&lt;15000,$D44*12/100,15000*12/100)</f>
        <v>1800</v>
      </c>
      <c r="F44" s="7">
        <f t="shared" si="46"/>
        <v>1800</v>
      </c>
      <c r="G44" s="7">
        <f t="shared" si="4"/>
        <v>3600</v>
      </c>
    </row>
    <row r="45">
      <c r="A45" s="8">
        <f t="shared" si="5"/>
        <v>44</v>
      </c>
      <c r="B45" s="40" t="s">
        <v>423</v>
      </c>
      <c r="C45" s="96">
        <v>13000.0</v>
      </c>
      <c r="D45" s="7">
        <f t="shared" si="2"/>
        <v>7800</v>
      </c>
      <c r="E45" s="7">
        <f t="shared" ref="E45:F45" si="47">if($D45&lt;15000,$D45*12/100,15000*12/100)</f>
        <v>936</v>
      </c>
      <c r="F45" s="7">
        <f t="shared" si="47"/>
        <v>936</v>
      </c>
      <c r="G45" s="7">
        <f t="shared" si="4"/>
        <v>1872</v>
      </c>
    </row>
    <row r="46">
      <c r="A46" s="8">
        <f t="shared" si="5"/>
        <v>45</v>
      </c>
      <c r="B46" s="40" t="s">
        <v>443</v>
      </c>
      <c r="C46" s="96">
        <v>15000.0</v>
      </c>
      <c r="D46" s="7">
        <f t="shared" si="2"/>
        <v>9000</v>
      </c>
      <c r="E46" s="7">
        <f t="shared" ref="E46:F46" si="48">if($D46&lt;15000,$D46*12/100,15000*12/100)</f>
        <v>1080</v>
      </c>
      <c r="F46" s="7">
        <f t="shared" si="48"/>
        <v>1080</v>
      </c>
      <c r="G46" s="7">
        <f t="shared" si="4"/>
        <v>2160</v>
      </c>
    </row>
    <row r="47">
      <c r="A47" s="8">
        <f t="shared" si="5"/>
        <v>46</v>
      </c>
      <c r="B47" s="40" t="s">
        <v>425</v>
      </c>
      <c r="C47" s="96">
        <v>22258.0</v>
      </c>
      <c r="D47" s="7">
        <f t="shared" si="2"/>
        <v>13354.8</v>
      </c>
      <c r="E47" s="7">
        <f t="shared" ref="E47:F47" si="49">if($D47&lt;15000,$D47*12/100,15000*12/100)</f>
        <v>1602.576</v>
      </c>
      <c r="F47" s="7">
        <f t="shared" si="49"/>
        <v>1602.576</v>
      </c>
      <c r="G47" s="7">
        <f t="shared" si="4"/>
        <v>3205.152</v>
      </c>
    </row>
    <row r="48">
      <c r="A48" s="8">
        <f t="shared" si="5"/>
        <v>47</v>
      </c>
      <c r="B48" s="40" t="s">
        <v>426</v>
      </c>
      <c r="C48" s="96">
        <v>23000.0</v>
      </c>
      <c r="D48" s="7">
        <f t="shared" si="2"/>
        <v>13800</v>
      </c>
      <c r="E48" s="7">
        <f t="shared" ref="E48:F48" si="50">if($D48&lt;15000,$D48*12/100,15000*12/100)</f>
        <v>1656</v>
      </c>
      <c r="F48" s="7">
        <f t="shared" si="50"/>
        <v>1656</v>
      </c>
      <c r="G48" s="7">
        <f t="shared" si="4"/>
        <v>3312</v>
      </c>
    </row>
    <row r="49">
      <c r="A49" s="8">
        <f t="shared" si="5"/>
        <v>48</v>
      </c>
      <c r="B49" s="40" t="s">
        <v>444</v>
      </c>
      <c r="C49" s="96">
        <v>16452.0</v>
      </c>
      <c r="D49" s="7">
        <f t="shared" si="2"/>
        <v>9871.2</v>
      </c>
      <c r="E49" s="7">
        <f t="shared" ref="E49:F49" si="51">if($D49&lt;15000,$D49*12/100,15000*12/100)</f>
        <v>1184.544</v>
      </c>
      <c r="F49" s="7">
        <f t="shared" si="51"/>
        <v>1184.544</v>
      </c>
      <c r="G49" s="7">
        <f t="shared" si="4"/>
        <v>2369.088</v>
      </c>
    </row>
    <row r="50">
      <c r="A50" s="8">
        <f t="shared" si="5"/>
        <v>49</v>
      </c>
      <c r="B50" s="40" t="s">
        <v>427</v>
      </c>
      <c r="C50" s="96">
        <v>16000.0</v>
      </c>
      <c r="D50" s="7">
        <f t="shared" si="2"/>
        <v>9600</v>
      </c>
      <c r="E50" s="7">
        <f t="shared" ref="E50:F50" si="52">if($D50&lt;15000,$D50*12/100,15000*12/100)</f>
        <v>1152</v>
      </c>
      <c r="F50" s="7">
        <f t="shared" si="52"/>
        <v>1152</v>
      </c>
      <c r="G50" s="7">
        <f t="shared" si="4"/>
        <v>2304</v>
      </c>
    </row>
    <row r="51">
      <c r="A51" s="8">
        <f t="shared" si="5"/>
        <v>50</v>
      </c>
      <c r="B51" s="40" t="s">
        <v>428</v>
      </c>
      <c r="C51" s="96">
        <v>29000.0</v>
      </c>
      <c r="D51" s="7">
        <f t="shared" si="2"/>
        <v>17400</v>
      </c>
      <c r="E51" s="7">
        <f t="shared" ref="E51:F51" si="53">if($D51&lt;15000,$D51*12/100,15000*12/100)</f>
        <v>1800</v>
      </c>
      <c r="F51" s="7">
        <f t="shared" si="53"/>
        <v>1800</v>
      </c>
      <c r="G51" s="7">
        <f t="shared" si="4"/>
        <v>3600</v>
      </c>
    </row>
    <row r="52">
      <c r="A52" s="8">
        <f t="shared" si="5"/>
        <v>51</v>
      </c>
      <c r="B52" s="40" t="s">
        <v>429</v>
      </c>
      <c r="C52" s="96">
        <v>70000.0</v>
      </c>
      <c r="D52" s="7">
        <f t="shared" si="2"/>
        <v>42000</v>
      </c>
      <c r="E52" s="7">
        <f t="shared" ref="E52:F52" si="54">if($D52&lt;15000,$D52*12/100,15000*12/100)</f>
        <v>1800</v>
      </c>
      <c r="F52" s="7">
        <f t="shared" si="54"/>
        <v>1800</v>
      </c>
      <c r="G52" s="7">
        <f t="shared" si="4"/>
        <v>3600</v>
      </c>
    </row>
    <row r="53">
      <c r="A53" s="8">
        <f t="shared" si="5"/>
        <v>52</v>
      </c>
      <c r="B53" s="40" t="s">
        <v>430</v>
      </c>
      <c r="C53" s="96">
        <v>17419.0</v>
      </c>
      <c r="D53" s="7">
        <f t="shared" si="2"/>
        <v>10451.4</v>
      </c>
      <c r="E53" s="7">
        <f t="shared" ref="E53:F53" si="55">if($D53&lt;15000,$D53*12/100,15000*12/100)</f>
        <v>1254.168</v>
      </c>
      <c r="F53" s="7">
        <f t="shared" si="55"/>
        <v>1254.168</v>
      </c>
      <c r="G53" s="7">
        <f t="shared" si="4"/>
        <v>2508.336</v>
      </c>
    </row>
    <row r="54">
      <c r="A54" s="8">
        <f t="shared" si="5"/>
        <v>53</v>
      </c>
      <c r="B54" s="40" t="s">
        <v>431</v>
      </c>
      <c r="C54" s="96">
        <v>11532.0</v>
      </c>
      <c r="D54" s="7">
        <f t="shared" si="2"/>
        <v>6919.2</v>
      </c>
      <c r="E54" s="7">
        <f t="shared" ref="E54:F54" si="56">if($D54&lt;15000,$D54*12/100,15000*12/100)</f>
        <v>830.304</v>
      </c>
      <c r="F54" s="7">
        <f t="shared" si="56"/>
        <v>830.304</v>
      </c>
      <c r="G54" s="7">
        <f t="shared" si="4"/>
        <v>1660.608</v>
      </c>
    </row>
    <row r="55">
      <c r="A55" s="8">
        <f t="shared" si="5"/>
        <v>54</v>
      </c>
      <c r="B55" s="40" t="s">
        <v>432</v>
      </c>
      <c r="C55" s="96">
        <v>18000.0</v>
      </c>
      <c r="D55" s="7">
        <f t="shared" si="2"/>
        <v>10800</v>
      </c>
      <c r="E55" s="7">
        <f t="shared" ref="E55:F55" si="57">if($D55&lt;15000,$D55*12/100,15000*12/100)</f>
        <v>1296</v>
      </c>
      <c r="F55" s="7">
        <f t="shared" si="57"/>
        <v>1296</v>
      </c>
      <c r="G55" s="7">
        <f t="shared" si="4"/>
        <v>2592</v>
      </c>
    </row>
    <row r="56">
      <c r="A56" s="8">
        <f t="shared" si="5"/>
        <v>55</v>
      </c>
      <c r="B56" s="40" t="s">
        <v>433</v>
      </c>
      <c r="C56" s="96">
        <v>14274.0</v>
      </c>
      <c r="D56" s="7">
        <f t="shared" si="2"/>
        <v>8564.4</v>
      </c>
      <c r="E56" s="7">
        <f t="shared" ref="E56:F56" si="58">if($D56&lt;15000,$D56*12/100,15000*12/100)</f>
        <v>1027.728</v>
      </c>
      <c r="F56" s="7">
        <f t="shared" si="58"/>
        <v>1027.728</v>
      </c>
      <c r="G56" s="7">
        <f t="shared" si="4"/>
        <v>2055.456</v>
      </c>
    </row>
    <row r="57">
      <c r="A57" s="8">
        <f t="shared" si="5"/>
        <v>56</v>
      </c>
      <c r="B57" s="40" t="s">
        <v>445</v>
      </c>
      <c r="C57" s="96">
        <v>17000.0</v>
      </c>
      <c r="D57" s="7">
        <f t="shared" si="2"/>
        <v>10200</v>
      </c>
      <c r="E57" s="7">
        <f t="shared" ref="E57:F57" si="59">if($D57&lt;15000,$D57*12/100,15000*12/100)</f>
        <v>1224</v>
      </c>
      <c r="F57" s="7">
        <f t="shared" si="59"/>
        <v>1224</v>
      </c>
      <c r="G57" s="7">
        <f t="shared" si="4"/>
        <v>2448</v>
      </c>
    </row>
    <row r="58">
      <c r="A58" s="8">
        <f t="shared" si="5"/>
        <v>57</v>
      </c>
      <c r="B58" s="40" t="s">
        <v>446</v>
      </c>
      <c r="C58" s="96">
        <v>17419.0</v>
      </c>
      <c r="D58" s="7">
        <f t="shared" si="2"/>
        <v>10451.4</v>
      </c>
      <c r="E58" s="7">
        <f t="shared" ref="E58:F58" si="60">if($D58&lt;15000,$D58*12/100,15000*12/100)</f>
        <v>1254.168</v>
      </c>
      <c r="F58" s="7">
        <f t="shared" si="60"/>
        <v>1254.168</v>
      </c>
      <c r="G58" s="7">
        <f t="shared" si="4"/>
        <v>2508.336</v>
      </c>
    </row>
    <row r="59">
      <c r="A59" s="8">
        <f t="shared" si="5"/>
        <v>58</v>
      </c>
      <c r="B59" s="40" t="s">
        <v>447</v>
      </c>
      <c r="C59" s="96">
        <v>17129.0</v>
      </c>
      <c r="D59" s="7">
        <f t="shared" si="2"/>
        <v>10277.4</v>
      </c>
      <c r="E59" s="7">
        <f t="shared" ref="E59:F59" si="61">if($D59&lt;15000,$D59*12/100,15000*12/100)</f>
        <v>1233.288</v>
      </c>
      <c r="F59" s="7">
        <f t="shared" si="61"/>
        <v>1233.288</v>
      </c>
      <c r="G59" s="7">
        <f t="shared" si="4"/>
        <v>2466.576</v>
      </c>
    </row>
    <row r="60">
      <c r="A60" s="8">
        <f t="shared" si="5"/>
        <v>59</v>
      </c>
      <c r="B60" s="40" t="s">
        <v>448</v>
      </c>
      <c r="C60" s="96">
        <v>39290.0</v>
      </c>
      <c r="D60" s="7">
        <f t="shared" si="2"/>
        <v>23574</v>
      </c>
      <c r="E60" s="7">
        <f t="shared" ref="E60:F60" si="62">if($D60&lt;15000,$D60*12/100,15000*12/100)</f>
        <v>1800</v>
      </c>
      <c r="F60" s="7">
        <f t="shared" si="62"/>
        <v>1800</v>
      </c>
      <c r="G60" s="7">
        <f t="shared" si="4"/>
        <v>3600</v>
      </c>
    </row>
    <row r="61">
      <c r="A61" s="8">
        <f t="shared" si="5"/>
        <v>60</v>
      </c>
      <c r="B61" s="40" t="s">
        <v>450</v>
      </c>
      <c r="C61" s="96">
        <v>43000.0</v>
      </c>
      <c r="D61" s="7">
        <f t="shared" si="2"/>
        <v>25800</v>
      </c>
      <c r="E61" s="7">
        <f t="shared" ref="E61:F61" si="63">if($D61&lt;15000,$D61*12/100,15000*12/100)</f>
        <v>1800</v>
      </c>
      <c r="F61" s="7">
        <f t="shared" si="63"/>
        <v>1800</v>
      </c>
      <c r="G61" s="7">
        <f t="shared" si="4"/>
        <v>3600</v>
      </c>
    </row>
    <row r="62">
      <c r="A62" s="8">
        <f t="shared" si="5"/>
        <v>61</v>
      </c>
      <c r="B62" s="40" t="s">
        <v>451</v>
      </c>
      <c r="C62" s="96">
        <v>39355.0</v>
      </c>
      <c r="D62" s="7">
        <f t="shared" si="2"/>
        <v>23613</v>
      </c>
      <c r="E62" s="7">
        <f t="shared" ref="E62:F62" si="64">if($D62&lt;15000,$D62*12/100,15000*12/100)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40" t="s">
        <v>452</v>
      </c>
      <c r="C63" s="96">
        <v>16000.0</v>
      </c>
      <c r="D63" s="7">
        <f t="shared" si="2"/>
        <v>9600</v>
      </c>
      <c r="E63" s="7">
        <f t="shared" ref="E63:F63" si="65">if($D63&lt;15000,$D63*12/100,15000*12/100)</f>
        <v>1152</v>
      </c>
      <c r="F63" s="7">
        <f t="shared" si="65"/>
        <v>1152</v>
      </c>
      <c r="G63" s="7">
        <f t="shared" si="4"/>
        <v>2304</v>
      </c>
    </row>
    <row r="64">
      <c r="A64" s="8">
        <f t="shared" si="5"/>
        <v>63</v>
      </c>
      <c r="B64" s="40" t="s">
        <v>453</v>
      </c>
      <c r="C64" s="96">
        <v>3871.0</v>
      </c>
      <c r="D64" s="7">
        <f t="shared" si="2"/>
        <v>2322.6</v>
      </c>
      <c r="E64" s="7">
        <f t="shared" ref="E64:F64" si="66">if($D64&lt;15000,$D64*12/100,15000*12/100)</f>
        <v>278.712</v>
      </c>
      <c r="F64" s="7">
        <f t="shared" si="66"/>
        <v>278.712</v>
      </c>
      <c r="G64" s="7">
        <f t="shared" si="4"/>
        <v>557.424</v>
      </c>
    </row>
    <row r="65">
      <c r="A65" s="8">
        <f t="shared" si="5"/>
        <v>64</v>
      </c>
      <c r="B65" s="40" t="s">
        <v>454</v>
      </c>
      <c r="C65" s="96">
        <v>37000.0</v>
      </c>
      <c r="D65" s="7">
        <f t="shared" si="2"/>
        <v>22200</v>
      </c>
      <c r="E65" s="7">
        <f t="shared" ref="E65:F65" si="67">if($D65&lt;15000,$D65*12/100,15000*12/100)</f>
        <v>1800</v>
      </c>
      <c r="F65" s="7">
        <f t="shared" si="67"/>
        <v>1800</v>
      </c>
      <c r="G65" s="7">
        <f t="shared" si="4"/>
        <v>3600</v>
      </c>
    </row>
    <row r="66">
      <c r="A66" s="8">
        <f t="shared" si="5"/>
        <v>65</v>
      </c>
      <c r="B66" s="40" t="s">
        <v>455</v>
      </c>
      <c r="C66" s="96">
        <v>23387.0</v>
      </c>
      <c r="D66" s="7">
        <f t="shared" si="2"/>
        <v>14032.2</v>
      </c>
      <c r="E66" s="7">
        <f t="shared" ref="E66:F66" si="68">if($D66&lt;15000,$D66*12/100,15000*12/100)</f>
        <v>1683.864</v>
      </c>
      <c r="F66" s="7">
        <f t="shared" si="68"/>
        <v>1683.864</v>
      </c>
      <c r="G66" s="7">
        <f t="shared" si="4"/>
        <v>3367.728</v>
      </c>
    </row>
    <row r="67">
      <c r="A67" s="8">
        <f t="shared" si="5"/>
        <v>66</v>
      </c>
      <c r="B67" s="40" t="s">
        <v>456</v>
      </c>
      <c r="C67" s="96">
        <v>15484.0</v>
      </c>
      <c r="D67" s="7">
        <f t="shared" si="2"/>
        <v>9290.4</v>
      </c>
      <c r="E67" s="7">
        <f t="shared" ref="E67:F67" si="69">if($D67&lt;15000,$D67*12/100,15000*12/100)</f>
        <v>1114.848</v>
      </c>
      <c r="F67" s="7">
        <f t="shared" si="69"/>
        <v>1114.848</v>
      </c>
      <c r="G67" s="7">
        <f t="shared" si="4"/>
        <v>2229.696</v>
      </c>
    </row>
    <row r="68">
      <c r="A68" s="8">
        <f t="shared" si="5"/>
        <v>67</v>
      </c>
      <c r="B68" s="40" t="s">
        <v>461</v>
      </c>
      <c r="C68" s="96">
        <v>16000.0</v>
      </c>
      <c r="D68" s="7">
        <f t="shared" si="2"/>
        <v>9600</v>
      </c>
      <c r="E68" s="7">
        <f t="shared" ref="E68:F68" si="70">if($D68&lt;15000,$D68*12/100,15000*12/100)</f>
        <v>1152</v>
      </c>
      <c r="F68" s="7">
        <f t="shared" si="70"/>
        <v>1152</v>
      </c>
      <c r="G68" s="7">
        <f t="shared" si="4"/>
        <v>2304</v>
      </c>
    </row>
    <row r="69">
      <c r="A69" s="8">
        <f t="shared" si="5"/>
        <v>68</v>
      </c>
      <c r="B69" s="40" t="s">
        <v>437</v>
      </c>
      <c r="C69" s="96">
        <v>22984.0</v>
      </c>
      <c r="D69" s="7">
        <f t="shared" si="2"/>
        <v>13790.4</v>
      </c>
      <c r="E69" s="7">
        <f t="shared" ref="E69:F69" si="71">if($D69&lt;15000,$D69*12/100,15000*12/100)</f>
        <v>1654.848</v>
      </c>
      <c r="F69" s="7">
        <f t="shared" si="71"/>
        <v>1654.848</v>
      </c>
      <c r="G69" s="7">
        <f t="shared" si="4"/>
        <v>3309.696</v>
      </c>
    </row>
    <row r="70">
      <c r="A70" s="8">
        <f t="shared" si="5"/>
        <v>69</v>
      </c>
      <c r="B70" s="40" t="s">
        <v>462</v>
      </c>
      <c r="C70" s="96">
        <v>2903.0</v>
      </c>
      <c r="D70" s="7">
        <f t="shared" si="2"/>
        <v>1741.8</v>
      </c>
      <c r="E70" s="7">
        <f t="shared" ref="E70:F70" si="72">if($D70&lt;15000,$D70*12/100,15000*12/100)</f>
        <v>209.016</v>
      </c>
      <c r="F70" s="7">
        <f t="shared" si="72"/>
        <v>209.016</v>
      </c>
      <c r="G70" s="7">
        <f t="shared" si="4"/>
        <v>418.032</v>
      </c>
    </row>
    <row r="71">
      <c r="A71" s="8">
        <f t="shared" si="5"/>
        <v>70</v>
      </c>
      <c r="B71" s="40" t="s">
        <v>463</v>
      </c>
      <c r="C71" s="96">
        <v>1032.0</v>
      </c>
      <c r="D71" s="7">
        <f t="shared" si="2"/>
        <v>619.2</v>
      </c>
      <c r="E71" s="7">
        <f t="shared" ref="E71:F71" si="73">if($D71&lt;15000,$D71*12/100,15000*12/100)</f>
        <v>74.304</v>
      </c>
      <c r="F71" s="7">
        <f t="shared" si="73"/>
        <v>74.304</v>
      </c>
      <c r="G71" s="7">
        <f t="shared" si="4"/>
        <v>148.608</v>
      </c>
    </row>
    <row r="72">
      <c r="A72" s="8">
        <f t="shared" si="5"/>
        <v>71</v>
      </c>
      <c r="B72" s="40" t="s">
        <v>282</v>
      </c>
      <c r="C72" s="96">
        <v>9000.0</v>
      </c>
      <c r="D72" s="7">
        <f t="shared" si="2"/>
        <v>5400</v>
      </c>
      <c r="E72" s="7">
        <f t="shared" ref="E72:F72" si="74">if($D72&lt;15000,$D72*12/100,15000*12/100)</f>
        <v>648</v>
      </c>
      <c r="F72" s="7">
        <f t="shared" si="74"/>
        <v>648</v>
      </c>
      <c r="G72" s="7">
        <f t="shared" si="4"/>
        <v>1296</v>
      </c>
    </row>
    <row r="73">
      <c r="A73" s="8">
        <f t="shared" si="5"/>
        <v>72</v>
      </c>
      <c r="B73" s="40" t="s">
        <v>283</v>
      </c>
      <c r="C73" s="96">
        <v>10000.0</v>
      </c>
      <c r="D73" s="7">
        <f t="shared" si="2"/>
        <v>6000</v>
      </c>
      <c r="E73" s="7">
        <f t="shared" ref="E73:F73" si="75">if($D73&lt;15000,$D73*12/100,15000*12/100)</f>
        <v>720</v>
      </c>
      <c r="F73" s="7">
        <f t="shared" si="75"/>
        <v>720</v>
      </c>
      <c r="G73" s="7">
        <f t="shared" si="4"/>
        <v>1440</v>
      </c>
    </row>
    <row r="74">
      <c r="A74" s="8">
        <f t="shared" si="5"/>
        <v>73</v>
      </c>
      <c r="B74" s="40" t="s">
        <v>268</v>
      </c>
      <c r="C74" s="96">
        <v>7000.0</v>
      </c>
      <c r="D74" s="7">
        <f t="shared" si="2"/>
        <v>4200</v>
      </c>
      <c r="E74" s="7">
        <f t="shared" ref="E74:F74" si="76">if($D74&lt;15000,$D74*12/100,15000*12/100)</f>
        <v>504</v>
      </c>
      <c r="F74" s="7">
        <f t="shared" si="76"/>
        <v>504</v>
      </c>
      <c r="G74" s="7">
        <f t="shared" si="4"/>
        <v>1008</v>
      </c>
    </row>
    <row r="75">
      <c r="A75" s="8">
        <f t="shared" si="5"/>
        <v>74</v>
      </c>
      <c r="B75" s="40" t="s">
        <v>285</v>
      </c>
      <c r="C75" s="96">
        <v>9000.0</v>
      </c>
      <c r="D75" s="7">
        <f t="shared" si="2"/>
        <v>5400</v>
      </c>
      <c r="E75" s="7">
        <f t="shared" ref="E75:F75" si="77">if($D75&lt;15000,$D75*12/100,15000*12/100)</f>
        <v>648</v>
      </c>
      <c r="F75" s="7">
        <f t="shared" si="77"/>
        <v>648</v>
      </c>
      <c r="G75" s="7">
        <f t="shared" si="4"/>
        <v>1296</v>
      </c>
    </row>
    <row r="76">
      <c r="A76" s="8">
        <f t="shared" si="5"/>
        <v>75</v>
      </c>
      <c r="B76" s="40" t="s">
        <v>464</v>
      </c>
      <c r="C76" s="96">
        <v>8000.0</v>
      </c>
      <c r="D76" s="7">
        <f t="shared" si="2"/>
        <v>4800</v>
      </c>
      <c r="E76" s="7">
        <f t="shared" ref="E76:F76" si="78">if($D76&lt;15000,$D76*12/100,15000*12/100)</f>
        <v>576</v>
      </c>
      <c r="F76" s="7">
        <f t="shared" si="78"/>
        <v>576</v>
      </c>
      <c r="G76" s="7">
        <f t="shared" si="4"/>
        <v>1152</v>
      </c>
    </row>
    <row r="77">
      <c r="A77" s="8">
        <f t="shared" si="5"/>
        <v>76</v>
      </c>
      <c r="B77" s="30" t="s">
        <v>385</v>
      </c>
      <c r="C77" s="96">
        <v>2710.0</v>
      </c>
      <c r="D77" s="7">
        <f t="shared" si="2"/>
        <v>1626</v>
      </c>
      <c r="E77" s="7">
        <f t="shared" ref="E77:F77" si="79">if($D77&lt;15000,$D77*12/100,15000*12/100)</f>
        <v>195.12</v>
      </c>
      <c r="F77" s="7">
        <f t="shared" si="79"/>
        <v>195.12</v>
      </c>
      <c r="G77" s="7">
        <f t="shared" si="4"/>
        <v>390.24</v>
      </c>
    </row>
    <row r="78">
      <c r="A78" s="8">
        <f t="shared" si="5"/>
        <v>77</v>
      </c>
      <c r="B78" s="40" t="s">
        <v>384</v>
      </c>
      <c r="C78" s="96">
        <v>25000.0</v>
      </c>
      <c r="D78" s="7">
        <f t="shared" si="2"/>
        <v>15000</v>
      </c>
      <c r="E78" s="7">
        <f t="shared" ref="E78:F78" si="80">if($D78&lt;15000,$D78*12/100,15000*12/100)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0" t="s">
        <v>282</v>
      </c>
      <c r="C79" s="96">
        <v>19032.0</v>
      </c>
      <c r="D79" s="7">
        <f t="shared" si="2"/>
        <v>11419.2</v>
      </c>
      <c r="E79" s="7">
        <f t="shared" ref="E79:F79" si="81">if($D79&lt;15000,$D79*12/100,15000*12/100)</f>
        <v>1370.304</v>
      </c>
      <c r="F79" s="7">
        <f t="shared" si="81"/>
        <v>1370.304</v>
      </c>
      <c r="G79" s="7">
        <f t="shared" si="4"/>
        <v>2740.608</v>
      </c>
    </row>
    <row r="80">
      <c r="A80" s="8">
        <f t="shared" si="5"/>
        <v>79</v>
      </c>
      <c r="B80" s="40" t="s">
        <v>386</v>
      </c>
      <c r="C80" s="96">
        <v>17742.0</v>
      </c>
      <c r="D80" s="7">
        <f t="shared" si="2"/>
        <v>10645.2</v>
      </c>
      <c r="E80" s="7">
        <f t="shared" ref="E80:F80" si="82">if($D80&lt;15000,$D80*12/100,15000*12/100)</f>
        <v>1277.424</v>
      </c>
      <c r="F80" s="7">
        <f t="shared" si="82"/>
        <v>1277.424</v>
      </c>
      <c r="G80" s="7">
        <f t="shared" si="4"/>
        <v>2554.848</v>
      </c>
    </row>
    <row r="81">
      <c r="A81" s="8">
        <f t="shared" si="5"/>
        <v>80</v>
      </c>
      <c r="B81" s="40" t="s">
        <v>261</v>
      </c>
      <c r="C81" s="96">
        <v>17000.0</v>
      </c>
      <c r="D81" s="7">
        <f t="shared" si="2"/>
        <v>10200</v>
      </c>
      <c r="E81" s="7">
        <f t="shared" ref="E81:F81" si="83">if($D81&lt;15000,$D81*12/100,15000*12/100)</f>
        <v>1224</v>
      </c>
      <c r="F81" s="7">
        <f t="shared" si="83"/>
        <v>1224</v>
      </c>
      <c r="G81" s="7">
        <f t="shared" si="4"/>
        <v>2448</v>
      </c>
    </row>
    <row r="82">
      <c r="A82" s="8">
        <f t="shared" si="5"/>
        <v>81</v>
      </c>
      <c r="B82" s="40" t="s">
        <v>262</v>
      </c>
      <c r="C82" s="96">
        <v>4113.0</v>
      </c>
      <c r="D82" s="7">
        <f t="shared" si="2"/>
        <v>2467.8</v>
      </c>
      <c r="E82" s="7">
        <f t="shared" ref="E82:F82" si="84">if($D82&lt;15000,$D82*12/100,15000*12/100)</f>
        <v>296.136</v>
      </c>
      <c r="F82" s="7">
        <f t="shared" si="84"/>
        <v>296.136</v>
      </c>
      <c r="G82" s="7">
        <f t="shared" si="4"/>
        <v>592.272</v>
      </c>
    </row>
    <row r="83">
      <c r="A83" s="8">
        <f t="shared" si="5"/>
        <v>82</v>
      </c>
      <c r="B83" s="40" t="s">
        <v>263</v>
      </c>
      <c r="C83" s="96">
        <v>16548.0</v>
      </c>
      <c r="D83" s="7">
        <f t="shared" si="2"/>
        <v>9928.8</v>
      </c>
      <c r="E83" s="7">
        <f t="shared" ref="E83:F83" si="85">if($D83&lt;15000,$D83*12/100,15000*12/100)</f>
        <v>1191.456</v>
      </c>
      <c r="F83" s="7">
        <f t="shared" si="85"/>
        <v>1191.456</v>
      </c>
      <c r="G83" s="7">
        <f t="shared" si="4"/>
        <v>2382.912</v>
      </c>
    </row>
    <row r="84">
      <c r="A84" s="8">
        <f t="shared" si="5"/>
        <v>83</v>
      </c>
      <c r="B84" s="40" t="s">
        <v>389</v>
      </c>
      <c r="C84" s="96">
        <v>20000.0</v>
      </c>
      <c r="D84" s="7">
        <f t="shared" si="2"/>
        <v>12000</v>
      </c>
      <c r="E84" s="7">
        <f t="shared" ref="E84:F84" si="86">if($D84&lt;15000,$D84*12/100,15000*12/100)</f>
        <v>1440</v>
      </c>
      <c r="F84" s="7">
        <f t="shared" si="86"/>
        <v>1440</v>
      </c>
      <c r="G84" s="7">
        <f t="shared" si="4"/>
        <v>2880</v>
      </c>
    </row>
    <row r="85">
      <c r="A85" s="8">
        <f t="shared" si="5"/>
        <v>84</v>
      </c>
      <c r="B85" s="40" t="s">
        <v>465</v>
      </c>
      <c r="C85" s="96">
        <v>25000.0</v>
      </c>
      <c r="D85" s="7">
        <f t="shared" si="2"/>
        <v>15000</v>
      </c>
      <c r="E85" s="7">
        <f t="shared" ref="E85:F85" si="87">if($D85&lt;15000,$D85*12/100,15000*12/100)</f>
        <v>1800</v>
      </c>
      <c r="F85" s="7">
        <f t="shared" si="87"/>
        <v>1800</v>
      </c>
      <c r="G85" s="7">
        <f t="shared" si="4"/>
        <v>3600</v>
      </c>
    </row>
    <row r="86">
      <c r="A86" s="8">
        <f t="shared" si="5"/>
        <v>85</v>
      </c>
      <c r="B86" s="40" t="s">
        <v>438</v>
      </c>
      <c r="C86" s="96">
        <v>17774.0</v>
      </c>
      <c r="D86" s="7">
        <f t="shared" si="2"/>
        <v>10664.4</v>
      </c>
      <c r="E86" s="7">
        <f t="shared" ref="E86:F86" si="88">if($D86&lt;15000,$D86*12/100,15000*12/100)</f>
        <v>1279.728</v>
      </c>
      <c r="F86" s="7">
        <f t="shared" si="88"/>
        <v>1279.728</v>
      </c>
      <c r="G86" s="7">
        <f t="shared" si="4"/>
        <v>2559.456</v>
      </c>
    </row>
    <row r="87">
      <c r="A87" s="8">
        <f t="shared" si="5"/>
        <v>86</v>
      </c>
      <c r="B87" s="30" t="s">
        <v>439</v>
      </c>
      <c r="C87" s="96">
        <v>22984.0</v>
      </c>
      <c r="D87" s="7">
        <f t="shared" si="2"/>
        <v>13790.4</v>
      </c>
      <c r="E87" s="7">
        <f t="shared" ref="E87:F87" si="89">if($D87&lt;15000,$D87*12/100,15000*12/100)</f>
        <v>1654.848</v>
      </c>
      <c r="F87" s="7">
        <f t="shared" si="89"/>
        <v>1654.848</v>
      </c>
      <c r="G87" s="7">
        <f t="shared" si="4"/>
        <v>3309.696</v>
      </c>
    </row>
    <row r="88">
      <c r="A88" s="8">
        <f t="shared" si="5"/>
        <v>87</v>
      </c>
      <c r="B88" s="30" t="s">
        <v>466</v>
      </c>
      <c r="C88" s="96">
        <v>24000.0</v>
      </c>
      <c r="D88" s="7">
        <f t="shared" si="2"/>
        <v>14400</v>
      </c>
      <c r="E88" s="7">
        <f t="shared" ref="E88:F88" si="90">if($D88&lt;15000,$D88*12/100,15000*12/100)</f>
        <v>1728</v>
      </c>
      <c r="F88" s="7">
        <f t="shared" si="90"/>
        <v>1728</v>
      </c>
      <c r="G88" s="7">
        <f t="shared" si="4"/>
        <v>3456</v>
      </c>
    </row>
    <row r="89">
      <c r="A89" s="8">
        <f t="shared" si="5"/>
        <v>88</v>
      </c>
      <c r="B89" s="40" t="s">
        <v>440</v>
      </c>
      <c r="C89" s="96">
        <v>25000.0</v>
      </c>
      <c r="D89" s="7">
        <f t="shared" si="2"/>
        <v>15000</v>
      </c>
      <c r="E89" s="7">
        <f t="shared" ref="E89:F89" si="91">if($D89&lt;15000,$D89*12/100,15000*12/100)</f>
        <v>1800</v>
      </c>
      <c r="F89" s="7">
        <f t="shared" si="91"/>
        <v>1800</v>
      </c>
      <c r="G89" s="7">
        <f t="shared" si="4"/>
        <v>3600</v>
      </c>
    </row>
    <row r="90">
      <c r="A90" s="8">
        <f t="shared" si="5"/>
        <v>89</v>
      </c>
      <c r="B90" s="40" t="s">
        <v>441</v>
      </c>
      <c r="C90" s="96">
        <v>24194.0</v>
      </c>
      <c r="D90" s="7">
        <f t="shared" si="2"/>
        <v>14516.4</v>
      </c>
      <c r="E90" s="7">
        <f t="shared" ref="E90:F90" si="92">if($D90&lt;15000,$D90*12/100,15000*12/100)</f>
        <v>1741.968</v>
      </c>
      <c r="F90" s="7">
        <f t="shared" si="92"/>
        <v>1741.968</v>
      </c>
      <c r="G90" s="7">
        <f t="shared" si="4"/>
        <v>3483.936</v>
      </c>
    </row>
    <row r="91">
      <c r="A91" s="8">
        <f t="shared" si="5"/>
        <v>90</v>
      </c>
      <c r="B91" s="40" t="s">
        <v>467</v>
      </c>
      <c r="C91" s="96">
        <v>17710.0</v>
      </c>
      <c r="D91" s="7">
        <f t="shared" si="2"/>
        <v>10626</v>
      </c>
      <c r="E91" s="7">
        <f t="shared" ref="E91:F91" si="93">if($D91&lt;15000,$D91*12/100,15000*12/100)</f>
        <v>1275.12</v>
      </c>
      <c r="F91" s="7">
        <f t="shared" si="93"/>
        <v>1275.12</v>
      </c>
      <c r="G91" s="7">
        <f t="shared" si="4"/>
        <v>2550.24</v>
      </c>
    </row>
    <row r="92">
      <c r="A92" s="8">
        <f t="shared" si="5"/>
        <v>91</v>
      </c>
      <c r="B92" s="40" t="s">
        <v>468</v>
      </c>
      <c r="C92" s="96">
        <v>18000.0</v>
      </c>
      <c r="D92" s="7">
        <f t="shared" si="2"/>
        <v>10800</v>
      </c>
      <c r="E92" s="7">
        <f t="shared" ref="E92:F92" si="94">if($D92&lt;15000,$D92*12/100,15000*12/100)</f>
        <v>1296</v>
      </c>
      <c r="F92" s="7">
        <f t="shared" si="94"/>
        <v>1296</v>
      </c>
      <c r="G92" s="7">
        <f t="shared" si="4"/>
        <v>2592</v>
      </c>
    </row>
    <row r="93">
      <c r="A93" s="9" t="s">
        <v>34</v>
      </c>
      <c r="B93" s="10"/>
      <c r="C93" s="11">
        <f t="shared" ref="C93:G93" si="95">sum(C2:C92)</f>
        <v>2015321</v>
      </c>
      <c r="D93" s="11">
        <f t="shared" si="95"/>
        <v>1209192.6</v>
      </c>
      <c r="E93" s="11">
        <f t="shared" si="95"/>
        <v>124098.84</v>
      </c>
      <c r="F93" s="11">
        <f t="shared" si="95"/>
        <v>124098.84</v>
      </c>
      <c r="G93" s="11">
        <f t="shared" si="95"/>
        <v>248197.68</v>
      </c>
    </row>
  </sheetData>
  <mergeCells count="1">
    <mergeCell ref="A93:B93"/>
  </mergeCells>
  <hyperlinks>
    <hyperlink r:id="rId1" ref="A1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99">
        <v>1.0</v>
      </c>
      <c r="B2" s="46" t="s">
        <v>381</v>
      </c>
      <c r="C2" s="69">
        <v>81000.0</v>
      </c>
      <c r="D2" s="7">
        <f t="shared" ref="D2:D92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2" si="4">E2+F2</f>
        <v>3600</v>
      </c>
    </row>
    <row r="3">
      <c r="A3" s="100">
        <v>2.0</v>
      </c>
      <c r="B3" s="46" t="s">
        <v>195</v>
      </c>
      <c r="C3" s="69">
        <v>60903.0</v>
      </c>
      <c r="D3" s="7">
        <f t="shared" si="2"/>
        <v>36541.8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</row>
    <row r="4">
      <c r="A4" s="100">
        <v>3.0</v>
      </c>
      <c r="B4" s="46" t="s">
        <v>203</v>
      </c>
      <c r="C4" s="69">
        <v>44226.0</v>
      </c>
      <c r="D4" s="7">
        <f t="shared" si="2"/>
        <v>26535.6</v>
      </c>
      <c r="E4" s="7">
        <f t="shared" ref="E4:F4" si="5">if($D4&lt;15000,$D4*12/100,15000*12/100)</f>
        <v>1800</v>
      </c>
      <c r="F4" s="7">
        <f t="shared" si="5"/>
        <v>1800</v>
      </c>
      <c r="G4" s="7">
        <f t="shared" si="4"/>
        <v>3600</v>
      </c>
    </row>
    <row r="5">
      <c r="A5" s="100">
        <v>4.0</v>
      </c>
      <c r="B5" s="46" t="s">
        <v>200</v>
      </c>
      <c r="C5" s="69">
        <v>40000.0</v>
      </c>
      <c r="D5" s="7">
        <f t="shared" si="2"/>
        <v>24000</v>
      </c>
      <c r="E5" s="7">
        <f t="shared" ref="E5:F5" si="6">if($D5&lt;15000,$D5*12/100,15000*12/100)</f>
        <v>1800</v>
      </c>
      <c r="F5" s="7">
        <f t="shared" si="6"/>
        <v>1800</v>
      </c>
      <c r="G5" s="7">
        <f t="shared" si="4"/>
        <v>3600</v>
      </c>
    </row>
    <row r="6">
      <c r="A6" s="100">
        <v>5.0</v>
      </c>
      <c r="B6" s="46" t="s">
        <v>382</v>
      </c>
      <c r="C6" s="69">
        <v>0.0</v>
      </c>
      <c r="D6" s="7">
        <f t="shared" si="2"/>
        <v>0</v>
      </c>
      <c r="E6" s="7">
        <f t="shared" ref="E6:F6" si="7">if($D6&lt;15000,$D6*12/100,15000*12/100)</f>
        <v>0</v>
      </c>
      <c r="F6" s="7">
        <f t="shared" si="7"/>
        <v>0</v>
      </c>
      <c r="G6" s="7">
        <f t="shared" si="4"/>
        <v>0</v>
      </c>
    </row>
    <row r="7">
      <c r="A7" s="100">
        <v>6.0</v>
      </c>
      <c r="B7" s="46" t="s">
        <v>231</v>
      </c>
      <c r="C7" s="69">
        <v>29000.0</v>
      </c>
      <c r="D7" s="7">
        <f t="shared" si="2"/>
        <v>17400</v>
      </c>
      <c r="E7" s="7">
        <f t="shared" ref="E7:F7" si="8">if($D7&lt;15000,$D7*12/100,15000*12/100)</f>
        <v>1800</v>
      </c>
      <c r="F7" s="7">
        <f t="shared" si="8"/>
        <v>1800</v>
      </c>
      <c r="G7" s="7">
        <f t="shared" si="4"/>
        <v>3600</v>
      </c>
    </row>
    <row r="8">
      <c r="A8" s="100">
        <v>7.0</v>
      </c>
      <c r="B8" s="46" t="s">
        <v>236</v>
      </c>
      <c r="C8" s="69">
        <v>22400.0</v>
      </c>
      <c r="D8" s="7">
        <f t="shared" si="2"/>
        <v>13440</v>
      </c>
      <c r="E8" s="7">
        <f t="shared" ref="E8:F8" si="9">if($D8&lt;15000,$D8*12/100,15000*12/100)</f>
        <v>1612.8</v>
      </c>
      <c r="F8" s="7">
        <f t="shared" si="9"/>
        <v>1612.8</v>
      </c>
      <c r="G8" s="7">
        <f t="shared" si="4"/>
        <v>3225.6</v>
      </c>
    </row>
    <row r="9">
      <c r="A9" s="100">
        <v>8.0</v>
      </c>
      <c r="B9" s="46" t="s">
        <v>221</v>
      </c>
      <c r="C9" s="69">
        <v>26550.0</v>
      </c>
      <c r="D9" s="7">
        <f t="shared" si="2"/>
        <v>15930</v>
      </c>
      <c r="E9" s="7">
        <f t="shared" ref="E9:F9" si="10">if($D9&lt;15000,$D9*12/100,15000*12/100)</f>
        <v>1800</v>
      </c>
      <c r="F9" s="7">
        <f t="shared" si="10"/>
        <v>1800</v>
      </c>
      <c r="G9" s="7">
        <f t="shared" si="4"/>
        <v>3600</v>
      </c>
    </row>
    <row r="10">
      <c r="A10" s="100">
        <v>9.0</v>
      </c>
      <c r="B10" s="46" t="s">
        <v>201</v>
      </c>
      <c r="C10" s="69">
        <v>30000.0</v>
      </c>
      <c r="D10" s="7">
        <f t="shared" si="2"/>
        <v>18000</v>
      </c>
      <c r="E10" s="7">
        <f t="shared" ref="E10:F10" si="11">if($D10&lt;15000,$D10*12/100,15000*12/100)</f>
        <v>1800</v>
      </c>
      <c r="F10" s="7">
        <f t="shared" si="11"/>
        <v>1800</v>
      </c>
      <c r="G10" s="7">
        <f t="shared" si="4"/>
        <v>3600</v>
      </c>
    </row>
    <row r="11">
      <c r="A11" s="100">
        <v>10.0</v>
      </c>
      <c r="B11" s="46" t="s">
        <v>213</v>
      </c>
      <c r="C11" s="69">
        <v>24686.0</v>
      </c>
      <c r="D11" s="7">
        <f t="shared" si="2"/>
        <v>14811.6</v>
      </c>
      <c r="E11" s="7">
        <f t="shared" ref="E11:F11" si="12">if($D11&lt;15000,$D11*12/100,15000*12/100)</f>
        <v>1777.392</v>
      </c>
      <c r="F11" s="7">
        <f t="shared" si="12"/>
        <v>1777.392</v>
      </c>
      <c r="G11" s="7">
        <f t="shared" si="4"/>
        <v>3554.784</v>
      </c>
    </row>
    <row r="12">
      <c r="A12" s="100">
        <v>11.0</v>
      </c>
      <c r="B12" s="46" t="s">
        <v>208</v>
      </c>
      <c r="C12" s="69">
        <v>33000.0</v>
      </c>
      <c r="D12" s="7">
        <f t="shared" si="2"/>
        <v>19800</v>
      </c>
      <c r="E12" s="7">
        <f t="shared" ref="E12:F12" si="13">if($D12&lt;15000,$D12*12/100,15000*12/100)</f>
        <v>1800</v>
      </c>
      <c r="F12" s="7">
        <f t="shared" si="13"/>
        <v>1800</v>
      </c>
      <c r="G12" s="7">
        <f t="shared" si="4"/>
        <v>3600</v>
      </c>
    </row>
    <row r="13">
      <c r="A13" s="100">
        <v>12.0</v>
      </c>
      <c r="B13" s="46" t="s">
        <v>248</v>
      </c>
      <c r="C13" s="69">
        <v>29867.0</v>
      </c>
      <c r="D13" s="7">
        <f t="shared" si="2"/>
        <v>17920.2</v>
      </c>
      <c r="E13" s="7">
        <f t="shared" ref="E13:F13" si="14">if($D13&lt;15000,$D13*12/100,15000*12/100)</f>
        <v>1800</v>
      </c>
      <c r="F13" s="7">
        <f t="shared" si="14"/>
        <v>1800</v>
      </c>
      <c r="G13" s="7">
        <f t="shared" si="4"/>
        <v>3600</v>
      </c>
    </row>
    <row r="14">
      <c r="A14" s="100">
        <v>13.0</v>
      </c>
      <c r="B14" s="46" t="s">
        <v>202</v>
      </c>
      <c r="C14" s="69">
        <v>29967.0</v>
      </c>
      <c r="D14" s="7">
        <f t="shared" si="2"/>
        <v>17980.2</v>
      </c>
      <c r="E14" s="7">
        <f t="shared" ref="E14:F14" si="15">if($D14&lt;15000,$D14*12/100,15000*12/100)</f>
        <v>1800</v>
      </c>
      <c r="F14" s="7">
        <f t="shared" si="15"/>
        <v>1800</v>
      </c>
      <c r="G14" s="7">
        <f t="shared" si="4"/>
        <v>3600</v>
      </c>
    </row>
    <row r="15">
      <c r="A15" s="100">
        <v>14.0</v>
      </c>
      <c r="B15" s="26" t="s">
        <v>209</v>
      </c>
      <c r="C15" s="69">
        <v>32000.0</v>
      </c>
      <c r="D15" s="7">
        <f t="shared" si="2"/>
        <v>19200</v>
      </c>
      <c r="E15" s="7">
        <f t="shared" ref="E15:F15" si="16">if($D15&lt;15000,$D15*12/100,15000*12/100)</f>
        <v>1800</v>
      </c>
      <c r="F15" s="7">
        <f t="shared" si="16"/>
        <v>1800</v>
      </c>
      <c r="G15" s="7">
        <f t="shared" si="4"/>
        <v>3600</v>
      </c>
    </row>
    <row r="16">
      <c r="A16" s="100">
        <v>15.0</v>
      </c>
      <c r="B16" s="46" t="s">
        <v>214</v>
      </c>
      <c r="C16" s="69">
        <v>28000.0</v>
      </c>
      <c r="D16" s="7">
        <f t="shared" si="2"/>
        <v>16800</v>
      </c>
      <c r="E16" s="7">
        <f t="shared" ref="E16:F16" si="17">if($D16&lt;15000,$D16*12/100,15000*12/100)</f>
        <v>1800</v>
      </c>
      <c r="F16" s="7">
        <f t="shared" si="17"/>
        <v>1800</v>
      </c>
      <c r="G16" s="7">
        <f t="shared" si="4"/>
        <v>3600</v>
      </c>
    </row>
    <row r="17">
      <c r="A17" s="100">
        <v>16.0</v>
      </c>
      <c r="B17" s="46" t="s">
        <v>206</v>
      </c>
      <c r="C17" s="69">
        <v>26600.0</v>
      </c>
      <c r="D17" s="7">
        <f t="shared" si="2"/>
        <v>15960</v>
      </c>
      <c r="E17" s="7">
        <f t="shared" ref="E17:F17" si="18">if($D17&lt;15000,$D17*12/100,15000*12/100)</f>
        <v>1800</v>
      </c>
      <c r="F17" s="7">
        <f t="shared" si="18"/>
        <v>1800</v>
      </c>
      <c r="G17" s="7">
        <f t="shared" si="4"/>
        <v>3600</v>
      </c>
    </row>
    <row r="18">
      <c r="A18" s="100">
        <v>17.0</v>
      </c>
      <c r="B18" s="46" t="s">
        <v>414</v>
      </c>
      <c r="C18" s="69">
        <v>23742.0</v>
      </c>
      <c r="D18" s="7">
        <f t="shared" si="2"/>
        <v>14245.2</v>
      </c>
      <c r="E18" s="7">
        <f t="shared" ref="E18:F18" si="19">if($D18&lt;15000,$D18*12/100,15000*12/100)</f>
        <v>1709.424</v>
      </c>
      <c r="F18" s="7">
        <f t="shared" si="19"/>
        <v>1709.424</v>
      </c>
      <c r="G18" s="7">
        <f t="shared" si="4"/>
        <v>3418.848</v>
      </c>
    </row>
    <row r="19">
      <c r="A19" s="100">
        <v>18.0</v>
      </c>
      <c r="B19" s="46" t="s">
        <v>210</v>
      </c>
      <c r="C19" s="69">
        <v>33000.0</v>
      </c>
      <c r="D19" s="7">
        <f t="shared" si="2"/>
        <v>19800</v>
      </c>
      <c r="E19" s="7">
        <f t="shared" ref="E19:F19" si="20">if($D19&lt;15000,$D19*12/100,15000*12/100)</f>
        <v>1800</v>
      </c>
      <c r="F19" s="7">
        <f t="shared" si="20"/>
        <v>1800</v>
      </c>
      <c r="G19" s="7">
        <f t="shared" si="4"/>
        <v>3600</v>
      </c>
    </row>
    <row r="20">
      <c r="A20" s="100">
        <v>19.0</v>
      </c>
      <c r="B20" s="46" t="s">
        <v>442</v>
      </c>
      <c r="C20" s="69">
        <v>33041.0</v>
      </c>
      <c r="D20" s="7">
        <f t="shared" si="2"/>
        <v>19824.6</v>
      </c>
      <c r="E20" s="7">
        <f t="shared" ref="E20:F20" si="21">if($D20&lt;15000,$D20*12/100,15000*12/100)</f>
        <v>1800</v>
      </c>
      <c r="F20" s="7">
        <f t="shared" si="21"/>
        <v>1800</v>
      </c>
      <c r="G20" s="7">
        <f t="shared" si="4"/>
        <v>3600</v>
      </c>
    </row>
    <row r="21">
      <c r="A21" s="100">
        <v>20.0</v>
      </c>
      <c r="B21" s="46" t="s">
        <v>212</v>
      </c>
      <c r="C21" s="69">
        <v>28500.0</v>
      </c>
      <c r="D21" s="7">
        <f t="shared" si="2"/>
        <v>17100</v>
      </c>
      <c r="E21" s="7">
        <f t="shared" ref="E21:F21" si="22">if($D21&lt;15000,$D21*12/100,15000*12/100)</f>
        <v>1800</v>
      </c>
      <c r="F21" s="7">
        <f t="shared" si="22"/>
        <v>1800</v>
      </c>
      <c r="G21" s="7">
        <f t="shared" si="4"/>
        <v>3600</v>
      </c>
    </row>
    <row r="22">
      <c r="A22" s="100">
        <v>21.0</v>
      </c>
      <c r="B22" s="46" t="s">
        <v>252</v>
      </c>
      <c r="C22" s="69">
        <v>23000.0</v>
      </c>
      <c r="D22" s="7">
        <f t="shared" si="2"/>
        <v>13800</v>
      </c>
      <c r="E22" s="7">
        <f t="shared" ref="E22:F22" si="23">if($D22&lt;15000,$D22*12/100,15000*12/100)</f>
        <v>1656</v>
      </c>
      <c r="F22" s="7">
        <f t="shared" si="23"/>
        <v>1656</v>
      </c>
      <c r="G22" s="7">
        <f t="shared" si="4"/>
        <v>3312</v>
      </c>
    </row>
    <row r="23">
      <c r="A23" s="100">
        <v>22.0</v>
      </c>
      <c r="B23" s="46" t="s">
        <v>249</v>
      </c>
      <c r="C23" s="69">
        <v>18300.0</v>
      </c>
      <c r="D23" s="7">
        <f t="shared" si="2"/>
        <v>10980</v>
      </c>
      <c r="E23" s="7">
        <f t="shared" ref="E23:F23" si="24">if($D23&lt;15000,$D23*12/100,15000*12/100)</f>
        <v>1317.6</v>
      </c>
      <c r="F23" s="7">
        <f t="shared" si="24"/>
        <v>1317.6</v>
      </c>
      <c r="G23" s="7">
        <f t="shared" si="4"/>
        <v>2635.2</v>
      </c>
    </row>
    <row r="24">
      <c r="A24" s="100">
        <v>23.0</v>
      </c>
      <c r="B24" s="46" t="s">
        <v>223</v>
      </c>
      <c r="C24" s="69">
        <v>24583.0</v>
      </c>
      <c r="D24" s="7">
        <f t="shared" si="2"/>
        <v>14749.8</v>
      </c>
      <c r="E24" s="7">
        <f t="shared" ref="E24:F24" si="25">if($D24&lt;15000,$D24*12/100,15000*12/100)</f>
        <v>1769.976</v>
      </c>
      <c r="F24" s="7">
        <f t="shared" si="25"/>
        <v>1769.976</v>
      </c>
      <c r="G24" s="7">
        <f t="shared" si="4"/>
        <v>3539.952</v>
      </c>
    </row>
    <row r="25">
      <c r="A25" s="100">
        <v>24.0</v>
      </c>
      <c r="B25" s="46" t="s">
        <v>416</v>
      </c>
      <c r="C25" s="69">
        <v>30000.0</v>
      </c>
      <c r="D25" s="7">
        <f t="shared" si="2"/>
        <v>18000</v>
      </c>
      <c r="E25" s="7">
        <f t="shared" ref="E25:F25" si="26">if($D25&lt;15000,$D25*12/100,15000*12/100)</f>
        <v>1800</v>
      </c>
      <c r="F25" s="7">
        <f t="shared" si="26"/>
        <v>1800</v>
      </c>
      <c r="G25" s="7">
        <f t="shared" si="4"/>
        <v>3600</v>
      </c>
    </row>
    <row r="26">
      <c r="A26" s="100">
        <v>25.0</v>
      </c>
      <c r="B26" s="46" t="s">
        <v>417</v>
      </c>
      <c r="C26" s="69">
        <v>25000.0</v>
      </c>
      <c r="D26" s="7">
        <f t="shared" si="2"/>
        <v>15000</v>
      </c>
      <c r="E26" s="7">
        <f t="shared" ref="E26:F26" si="27">if($D26&lt;15000,$D26*12/100,15000*12/100)</f>
        <v>1800</v>
      </c>
      <c r="F26" s="7">
        <f t="shared" si="27"/>
        <v>1800</v>
      </c>
      <c r="G26" s="7">
        <f t="shared" si="4"/>
        <v>3600</v>
      </c>
    </row>
    <row r="27">
      <c r="A27" s="100">
        <v>26.0</v>
      </c>
      <c r="B27" s="46" t="s">
        <v>216</v>
      </c>
      <c r="C27" s="69">
        <v>27000.0</v>
      </c>
      <c r="D27" s="7">
        <f t="shared" si="2"/>
        <v>16200</v>
      </c>
      <c r="E27" s="7">
        <f t="shared" ref="E27:F27" si="28">if($D27&lt;15000,$D27*12/100,15000*12/100)</f>
        <v>1800</v>
      </c>
      <c r="F27" s="7">
        <f t="shared" si="28"/>
        <v>1800</v>
      </c>
      <c r="G27" s="7">
        <f t="shared" si="4"/>
        <v>3600</v>
      </c>
    </row>
    <row r="28">
      <c r="A28" s="100">
        <v>27.0</v>
      </c>
      <c r="B28" s="46" t="s">
        <v>277</v>
      </c>
      <c r="C28" s="69">
        <v>16000.0</v>
      </c>
      <c r="D28" s="7">
        <f t="shared" si="2"/>
        <v>9600</v>
      </c>
      <c r="E28" s="7">
        <f t="shared" ref="E28:F28" si="29">if($D28&lt;15000,$D28*12/100,15000*12/100)</f>
        <v>1152</v>
      </c>
      <c r="F28" s="7">
        <f t="shared" si="29"/>
        <v>1152</v>
      </c>
      <c r="G28" s="7">
        <f t="shared" si="4"/>
        <v>2304</v>
      </c>
    </row>
    <row r="29">
      <c r="A29" s="100">
        <v>28.0</v>
      </c>
      <c r="B29" s="46" t="s">
        <v>258</v>
      </c>
      <c r="C29" s="69">
        <v>20667.0</v>
      </c>
      <c r="D29" s="7">
        <f t="shared" si="2"/>
        <v>12400.2</v>
      </c>
      <c r="E29" s="7">
        <f t="shared" ref="E29:F29" si="30">if($D29&lt;15000,$D29*12/100,15000*12/100)</f>
        <v>1488.024</v>
      </c>
      <c r="F29" s="7">
        <f t="shared" si="30"/>
        <v>1488.024</v>
      </c>
      <c r="G29" s="7">
        <f t="shared" si="4"/>
        <v>2976.048</v>
      </c>
    </row>
    <row r="30">
      <c r="A30" s="100">
        <v>29.0</v>
      </c>
      <c r="B30" s="46" t="s">
        <v>279</v>
      </c>
      <c r="C30" s="69">
        <v>24000.0</v>
      </c>
      <c r="D30" s="7">
        <f t="shared" si="2"/>
        <v>14400</v>
      </c>
      <c r="E30" s="7">
        <f t="shared" ref="E30:F30" si="31">if($D30&lt;15000,$D30*12/100,15000*12/100)</f>
        <v>1728</v>
      </c>
      <c r="F30" s="7">
        <f t="shared" si="31"/>
        <v>1728</v>
      </c>
      <c r="G30" s="7">
        <f t="shared" si="4"/>
        <v>3456</v>
      </c>
    </row>
    <row r="31">
      <c r="A31" s="100">
        <v>30.0</v>
      </c>
      <c r="B31" s="46" t="s">
        <v>217</v>
      </c>
      <c r="C31" s="69">
        <v>21467.0</v>
      </c>
      <c r="D31" s="7">
        <f t="shared" si="2"/>
        <v>12880.2</v>
      </c>
      <c r="E31" s="7">
        <f t="shared" ref="E31:F31" si="32">if($D31&lt;15000,$D31*12/100,15000*12/100)</f>
        <v>1545.624</v>
      </c>
      <c r="F31" s="7">
        <f t="shared" si="32"/>
        <v>1545.624</v>
      </c>
      <c r="G31" s="7">
        <f t="shared" si="4"/>
        <v>3091.248</v>
      </c>
    </row>
    <row r="32">
      <c r="A32" s="100">
        <v>31.0</v>
      </c>
      <c r="B32" s="46" t="s">
        <v>245</v>
      </c>
      <c r="C32" s="69">
        <v>18000.0</v>
      </c>
      <c r="D32" s="7">
        <f t="shared" si="2"/>
        <v>10800</v>
      </c>
      <c r="E32" s="7">
        <f t="shared" ref="E32:F32" si="33">if($D32&lt;15000,$D32*12/100,15000*12/100)</f>
        <v>1296</v>
      </c>
      <c r="F32" s="7">
        <f t="shared" si="33"/>
        <v>1296</v>
      </c>
      <c r="G32" s="7">
        <f t="shared" si="4"/>
        <v>2592</v>
      </c>
    </row>
    <row r="33">
      <c r="A33" s="101">
        <v>32.0</v>
      </c>
      <c r="B33" s="76" t="s">
        <v>244</v>
      </c>
      <c r="C33" s="69">
        <v>18667.0</v>
      </c>
      <c r="D33" s="7">
        <f t="shared" si="2"/>
        <v>11200.2</v>
      </c>
      <c r="E33" s="7">
        <f t="shared" ref="E33:F33" si="34">if($D33&lt;15000,$D33*12/100,15000*12/100)</f>
        <v>1344.024</v>
      </c>
      <c r="F33" s="7">
        <f t="shared" si="34"/>
        <v>1344.024</v>
      </c>
      <c r="G33" s="7">
        <f t="shared" si="4"/>
        <v>2688.048</v>
      </c>
    </row>
    <row r="34">
      <c r="A34" s="100">
        <v>33.0</v>
      </c>
      <c r="B34" s="46" t="s">
        <v>228</v>
      </c>
      <c r="C34" s="69">
        <v>17100.0</v>
      </c>
      <c r="D34" s="7">
        <f t="shared" si="2"/>
        <v>10260</v>
      </c>
      <c r="E34" s="7">
        <f t="shared" ref="E34:F34" si="35">if($D34&lt;15000,$D34*12/100,15000*12/100)</f>
        <v>1231.2</v>
      </c>
      <c r="F34" s="7">
        <f t="shared" si="35"/>
        <v>1231.2</v>
      </c>
      <c r="G34" s="7">
        <f t="shared" si="4"/>
        <v>2462.4</v>
      </c>
    </row>
    <row r="35">
      <c r="A35" s="100">
        <v>34.0</v>
      </c>
      <c r="B35" s="46" t="s">
        <v>243</v>
      </c>
      <c r="C35" s="69">
        <v>14933.0</v>
      </c>
      <c r="D35" s="7">
        <f t="shared" si="2"/>
        <v>8959.8</v>
      </c>
      <c r="E35" s="7">
        <f t="shared" ref="E35:F35" si="36">if($D35&lt;15000,$D35*12/100,15000*12/100)</f>
        <v>1075.176</v>
      </c>
      <c r="F35" s="7">
        <f t="shared" si="36"/>
        <v>1075.176</v>
      </c>
      <c r="G35" s="7">
        <f t="shared" si="4"/>
        <v>2150.352</v>
      </c>
    </row>
    <row r="36">
      <c r="A36" s="100">
        <v>35.0</v>
      </c>
      <c r="B36" s="46" t="s">
        <v>227</v>
      </c>
      <c r="C36" s="69">
        <v>17000.0</v>
      </c>
      <c r="D36" s="7">
        <f t="shared" si="2"/>
        <v>10200</v>
      </c>
      <c r="E36" s="7">
        <f t="shared" ref="E36:F36" si="37">if($D36&lt;15000,$D36*12/100,15000*12/100)</f>
        <v>1224</v>
      </c>
      <c r="F36" s="7">
        <f t="shared" si="37"/>
        <v>1224</v>
      </c>
      <c r="G36" s="7">
        <f t="shared" si="4"/>
        <v>2448</v>
      </c>
    </row>
    <row r="37">
      <c r="A37" s="100">
        <v>36.0</v>
      </c>
      <c r="B37" s="46" t="s">
        <v>377</v>
      </c>
      <c r="C37" s="69">
        <v>18050.0</v>
      </c>
      <c r="D37" s="7">
        <f t="shared" si="2"/>
        <v>10830</v>
      </c>
      <c r="E37" s="7">
        <f t="shared" ref="E37:F37" si="38">if($D37&lt;15000,$D37*12/100,15000*12/100)</f>
        <v>1299.6</v>
      </c>
      <c r="F37" s="7">
        <f t="shared" si="38"/>
        <v>1299.6</v>
      </c>
      <c r="G37" s="7">
        <f t="shared" si="4"/>
        <v>2599.2</v>
      </c>
    </row>
    <row r="38">
      <c r="A38" s="100">
        <v>37.0</v>
      </c>
      <c r="B38" s="40" t="s">
        <v>419</v>
      </c>
      <c r="C38" s="69">
        <v>16000.0</v>
      </c>
      <c r="D38" s="7">
        <f t="shared" si="2"/>
        <v>9600</v>
      </c>
      <c r="E38" s="7">
        <f t="shared" ref="E38:F38" si="39">if($D38&lt;15000,$D38*12/100,15000*12/100)</f>
        <v>1152</v>
      </c>
      <c r="F38" s="7">
        <f t="shared" si="39"/>
        <v>1152</v>
      </c>
      <c r="G38" s="7">
        <f t="shared" si="4"/>
        <v>2304</v>
      </c>
    </row>
    <row r="39">
      <c r="A39" s="100">
        <v>38.0</v>
      </c>
      <c r="B39" s="40" t="s">
        <v>220</v>
      </c>
      <c r="C39" s="69">
        <v>27500.0</v>
      </c>
      <c r="D39" s="7">
        <f t="shared" si="2"/>
        <v>16500</v>
      </c>
      <c r="E39" s="7">
        <f t="shared" ref="E39:F39" si="40">if($D39&lt;15000,$D39*12/100,15000*12/100)</f>
        <v>1800</v>
      </c>
      <c r="F39" s="7">
        <f t="shared" si="40"/>
        <v>1800</v>
      </c>
      <c r="G39" s="7">
        <f t="shared" si="4"/>
        <v>3600</v>
      </c>
    </row>
    <row r="40">
      <c r="A40" s="100">
        <v>39.0</v>
      </c>
      <c r="B40" s="40" t="s">
        <v>235</v>
      </c>
      <c r="C40" s="69">
        <v>22733.0</v>
      </c>
      <c r="D40" s="7">
        <f t="shared" si="2"/>
        <v>13639.8</v>
      </c>
      <c r="E40" s="7">
        <f t="shared" ref="E40:F40" si="41">if($D40&lt;15000,$D40*12/100,15000*12/100)</f>
        <v>1636.776</v>
      </c>
      <c r="F40" s="7">
        <f t="shared" si="41"/>
        <v>1636.776</v>
      </c>
      <c r="G40" s="7">
        <f t="shared" si="4"/>
        <v>3273.552</v>
      </c>
    </row>
    <row r="41">
      <c r="A41" s="100">
        <v>40.0</v>
      </c>
      <c r="B41" s="40" t="s">
        <v>275</v>
      </c>
      <c r="C41" s="69">
        <v>15200.0</v>
      </c>
      <c r="D41" s="7">
        <f t="shared" si="2"/>
        <v>9120</v>
      </c>
      <c r="E41" s="7">
        <f t="shared" ref="E41:F41" si="42">if($D41&lt;15000,$D41*12/100,15000*12/100)</f>
        <v>1094.4</v>
      </c>
      <c r="F41" s="7">
        <f t="shared" si="42"/>
        <v>1094.4</v>
      </c>
      <c r="G41" s="7">
        <f t="shared" si="4"/>
        <v>2188.8</v>
      </c>
    </row>
    <row r="42">
      <c r="A42" s="100">
        <v>41.0</v>
      </c>
      <c r="B42" s="40" t="s">
        <v>421</v>
      </c>
      <c r="C42" s="69">
        <v>15000.0</v>
      </c>
      <c r="D42" s="7">
        <f t="shared" si="2"/>
        <v>9000</v>
      </c>
      <c r="E42" s="7">
        <f t="shared" ref="E42:F42" si="43">if($D42&lt;15000,$D42*12/100,15000*12/100)</f>
        <v>1080</v>
      </c>
      <c r="F42" s="7">
        <f t="shared" si="43"/>
        <v>1080</v>
      </c>
      <c r="G42" s="7">
        <f t="shared" si="4"/>
        <v>2160</v>
      </c>
    </row>
    <row r="43">
      <c r="A43" s="100">
        <v>42.0</v>
      </c>
      <c r="B43" s="40" t="s">
        <v>422</v>
      </c>
      <c r="C43" s="69">
        <v>27000.0</v>
      </c>
      <c r="D43" s="7">
        <f t="shared" si="2"/>
        <v>16200</v>
      </c>
      <c r="E43" s="7">
        <f t="shared" ref="E43:F43" si="44">if($D43&lt;15000,$D43*12/100,15000*12/100)</f>
        <v>1800</v>
      </c>
      <c r="F43" s="7">
        <f t="shared" si="44"/>
        <v>1800</v>
      </c>
      <c r="G43" s="7">
        <f t="shared" si="4"/>
        <v>3600</v>
      </c>
    </row>
    <row r="44">
      <c r="A44" s="100">
        <v>43.0</v>
      </c>
      <c r="B44" s="40" t="s">
        <v>423</v>
      </c>
      <c r="C44" s="69">
        <v>13000.0</v>
      </c>
      <c r="D44" s="7">
        <f t="shared" si="2"/>
        <v>7800</v>
      </c>
      <c r="E44" s="7">
        <f t="shared" ref="E44:F44" si="45">if($D44&lt;15000,$D44*12/100,15000*12/100)</f>
        <v>936</v>
      </c>
      <c r="F44" s="7">
        <f t="shared" si="45"/>
        <v>936</v>
      </c>
      <c r="G44" s="7">
        <f t="shared" si="4"/>
        <v>1872</v>
      </c>
    </row>
    <row r="45">
      <c r="A45" s="100">
        <v>44.0</v>
      </c>
      <c r="B45" s="40" t="s">
        <v>443</v>
      </c>
      <c r="C45" s="69">
        <v>15000.0</v>
      </c>
      <c r="D45" s="7">
        <f t="shared" si="2"/>
        <v>9000</v>
      </c>
      <c r="E45" s="7">
        <f t="shared" ref="E45:F45" si="46">if($D45&lt;15000,$D45*12/100,15000*12/100)</f>
        <v>1080</v>
      </c>
      <c r="F45" s="7">
        <f t="shared" si="46"/>
        <v>1080</v>
      </c>
      <c r="G45" s="7">
        <f t="shared" si="4"/>
        <v>2160</v>
      </c>
    </row>
    <row r="46">
      <c r="A46" s="100">
        <v>45.0</v>
      </c>
      <c r="B46" s="40" t="s">
        <v>425</v>
      </c>
      <c r="C46" s="69">
        <v>23000.0</v>
      </c>
      <c r="D46" s="7">
        <f t="shared" si="2"/>
        <v>13800</v>
      </c>
      <c r="E46" s="7">
        <f t="shared" ref="E46:F46" si="47">if($D46&lt;15000,$D46*12/100,15000*12/100)</f>
        <v>1656</v>
      </c>
      <c r="F46" s="7">
        <f t="shared" si="47"/>
        <v>1656</v>
      </c>
      <c r="G46" s="7">
        <f t="shared" si="4"/>
        <v>3312</v>
      </c>
    </row>
    <row r="47">
      <c r="A47" s="100">
        <v>46.0</v>
      </c>
      <c r="B47" s="40" t="s">
        <v>426</v>
      </c>
      <c r="C47" s="69">
        <v>23000.0</v>
      </c>
      <c r="D47" s="7">
        <f t="shared" si="2"/>
        <v>13800</v>
      </c>
      <c r="E47" s="7">
        <f t="shared" ref="E47:F47" si="48">if($D47&lt;15000,$D47*12/100,15000*12/100)</f>
        <v>1656</v>
      </c>
      <c r="F47" s="7">
        <f t="shared" si="48"/>
        <v>1656</v>
      </c>
      <c r="G47" s="7">
        <f t="shared" si="4"/>
        <v>3312</v>
      </c>
    </row>
    <row r="48">
      <c r="A48" s="100">
        <v>47.0</v>
      </c>
      <c r="B48" s="40" t="s">
        <v>444</v>
      </c>
      <c r="C48" s="69">
        <v>16433.0</v>
      </c>
      <c r="D48" s="7">
        <f t="shared" si="2"/>
        <v>9859.8</v>
      </c>
      <c r="E48" s="7">
        <f t="shared" ref="E48:F48" si="49">if($D48&lt;15000,$D48*12/100,15000*12/100)</f>
        <v>1183.176</v>
      </c>
      <c r="F48" s="7">
        <f t="shared" si="49"/>
        <v>1183.176</v>
      </c>
      <c r="G48" s="7">
        <f t="shared" si="4"/>
        <v>2366.352</v>
      </c>
    </row>
    <row r="49">
      <c r="A49" s="100">
        <v>48.0</v>
      </c>
      <c r="B49" s="102" t="s">
        <v>427</v>
      </c>
      <c r="C49" s="69">
        <v>16000.0</v>
      </c>
      <c r="D49" s="7">
        <f t="shared" si="2"/>
        <v>9600</v>
      </c>
      <c r="E49" s="7">
        <f t="shared" ref="E49:F49" si="50">if($D49&lt;15000,$D49*12/100,15000*12/100)</f>
        <v>1152</v>
      </c>
      <c r="F49" s="7">
        <f t="shared" si="50"/>
        <v>1152</v>
      </c>
      <c r="G49" s="7">
        <f t="shared" si="4"/>
        <v>2304</v>
      </c>
    </row>
    <row r="50">
      <c r="A50" s="100">
        <v>49.0</v>
      </c>
      <c r="B50" s="40" t="s">
        <v>428</v>
      </c>
      <c r="C50" s="69">
        <v>29967.0</v>
      </c>
      <c r="D50" s="7">
        <f t="shared" si="2"/>
        <v>17980.2</v>
      </c>
      <c r="E50" s="7">
        <f t="shared" ref="E50:F50" si="51">if($D50&lt;15000,$D50*12/100,15000*12/100)</f>
        <v>1800</v>
      </c>
      <c r="F50" s="7">
        <f t="shared" si="51"/>
        <v>1800</v>
      </c>
      <c r="G50" s="7">
        <f t="shared" si="4"/>
        <v>3600</v>
      </c>
    </row>
    <row r="51">
      <c r="A51" s="100">
        <v>50.0</v>
      </c>
      <c r="B51" s="40" t="s">
        <v>429</v>
      </c>
      <c r="C51" s="69">
        <v>70000.0</v>
      </c>
      <c r="D51" s="7">
        <f t="shared" si="2"/>
        <v>42000</v>
      </c>
      <c r="E51" s="7">
        <f t="shared" ref="E51:F51" si="52">if($D51&lt;15000,$D51*12/100,15000*12/100)</f>
        <v>1800</v>
      </c>
      <c r="F51" s="7">
        <f t="shared" si="52"/>
        <v>1800</v>
      </c>
      <c r="G51" s="7">
        <f t="shared" si="4"/>
        <v>3600</v>
      </c>
    </row>
    <row r="52">
      <c r="A52" s="100">
        <v>51.0</v>
      </c>
      <c r="B52" s="40" t="s">
        <v>430</v>
      </c>
      <c r="C52" s="69">
        <v>17400.0</v>
      </c>
      <c r="D52" s="7">
        <f t="shared" si="2"/>
        <v>10440</v>
      </c>
      <c r="E52" s="7">
        <f t="shared" ref="E52:F52" si="53">if($D52&lt;15000,$D52*12/100,15000*12/100)</f>
        <v>1252.8</v>
      </c>
      <c r="F52" s="7">
        <f t="shared" si="53"/>
        <v>1252.8</v>
      </c>
      <c r="G52" s="7">
        <f t="shared" si="4"/>
        <v>2505.6</v>
      </c>
    </row>
    <row r="53">
      <c r="A53" s="100">
        <v>52.0</v>
      </c>
      <c r="B53" s="40" t="s">
        <v>431</v>
      </c>
      <c r="C53" s="69">
        <v>12567.0</v>
      </c>
      <c r="D53" s="7">
        <f t="shared" si="2"/>
        <v>7540.2</v>
      </c>
      <c r="E53" s="7">
        <f t="shared" ref="E53:F53" si="54">if($D53&lt;15000,$D53*12/100,15000*12/100)</f>
        <v>904.824</v>
      </c>
      <c r="F53" s="7">
        <f t="shared" si="54"/>
        <v>904.824</v>
      </c>
      <c r="G53" s="7">
        <f t="shared" si="4"/>
        <v>1809.648</v>
      </c>
    </row>
    <row r="54">
      <c r="A54" s="103">
        <v>53.0</v>
      </c>
      <c r="B54" s="30" t="s">
        <v>432</v>
      </c>
      <c r="C54" s="69">
        <v>18000.0</v>
      </c>
      <c r="D54" s="7">
        <f t="shared" si="2"/>
        <v>10800</v>
      </c>
      <c r="E54" s="7">
        <f t="shared" ref="E54:F54" si="55">if($D54&lt;15000,$D54*12/100,15000*12/100)</f>
        <v>1296</v>
      </c>
      <c r="F54" s="7">
        <f t="shared" si="55"/>
        <v>1296</v>
      </c>
      <c r="G54" s="7">
        <f t="shared" si="4"/>
        <v>2592</v>
      </c>
    </row>
    <row r="55">
      <c r="A55" s="100">
        <v>54.0</v>
      </c>
      <c r="B55" s="40" t="s">
        <v>433</v>
      </c>
      <c r="C55" s="69">
        <v>15000.0</v>
      </c>
      <c r="D55" s="7">
        <f t="shared" si="2"/>
        <v>9000</v>
      </c>
      <c r="E55" s="7">
        <f t="shared" ref="E55:F55" si="56">if($D55&lt;15000,$D55*12/100,15000*12/100)</f>
        <v>1080</v>
      </c>
      <c r="F55" s="7">
        <f t="shared" si="56"/>
        <v>1080</v>
      </c>
      <c r="G55" s="7">
        <f t="shared" si="4"/>
        <v>2160</v>
      </c>
    </row>
    <row r="56">
      <c r="A56" s="100">
        <v>55.0</v>
      </c>
      <c r="B56" s="40" t="s">
        <v>445</v>
      </c>
      <c r="C56" s="69">
        <v>17000.0</v>
      </c>
      <c r="D56" s="7">
        <f t="shared" si="2"/>
        <v>10200</v>
      </c>
      <c r="E56" s="7">
        <f t="shared" ref="E56:F56" si="57">if($D56&lt;15000,$D56*12/100,15000*12/100)</f>
        <v>1224</v>
      </c>
      <c r="F56" s="7">
        <f t="shared" si="57"/>
        <v>1224</v>
      </c>
      <c r="G56" s="7">
        <f t="shared" si="4"/>
        <v>2448</v>
      </c>
    </row>
    <row r="57">
      <c r="A57" s="100">
        <v>56.0</v>
      </c>
      <c r="B57" s="40" t="s">
        <v>446</v>
      </c>
      <c r="C57" s="69">
        <v>18000.0</v>
      </c>
      <c r="D57" s="7">
        <f t="shared" si="2"/>
        <v>10800</v>
      </c>
      <c r="E57" s="7">
        <f t="shared" ref="E57:F57" si="58">if($D57&lt;15000,$D57*12/100,15000*12/100)</f>
        <v>1296</v>
      </c>
      <c r="F57" s="7">
        <f t="shared" si="58"/>
        <v>1296</v>
      </c>
      <c r="G57" s="7">
        <f t="shared" si="4"/>
        <v>2592</v>
      </c>
    </row>
    <row r="58">
      <c r="A58" s="100">
        <v>57.0</v>
      </c>
      <c r="B58" s="40" t="s">
        <v>447</v>
      </c>
      <c r="C58" s="69">
        <v>18000.0</v>
      </c>
      <c r="D58" s="7">
        <f t="shared" si="2"/>
        <v>10800</v>
      </c>
      <c r="E58" s="7">
        <f t="shared" ref="E58:F58" si="59">if($D58&lt;15000,$D58*12/100,15000*12/100)</f>
        <v>1296</v>
      </c>
      <c r="F58" s="7">
        <f t="shared" si="59"/>
        <v>1296</v>
      </c>
      <c r="G58" s="7">
        <f t="shared" si="4"/>
        <v>2592</v>
      </c>
    </row>
    <row r="59">
      <c r="A59" s="100">
        <v>58.0</v>
      </c>
      <c r="B59" s="40" t="s">
        <v>448</v>
      </c>
      <c r="C59" s="69">
        <v>42000.0</v>
      </c>
      <c r="D59" s="7">
        <f t="shared" si="2"/>
        <v>25200</v>
      </c>
      <c r="E59" s="7">
        <f t="shared" ref="E59:F59" si="60">if($D59&lt;15000,$D59*12/100,15000*12/100)</f>
        <v>1800</v>
      </c>
      <c r="F59" s="7">
        <f t="shared" si="60"/>
        <v>1800</v>
      </c>
      <c r="G59" s="7">
        <f t="shared" si="4"/>
        <v>3600</v>
      </c>
    </row>
    <row r="60">
      <c r="A60" s="100">
        <v>59.0</v>
      </c>
      <c r="B60" s="40" t="s">
        <v>450</v>
      </c>
      <c r="C60" s="69">
        <v>43000.0</v>
      </c>
      <c r="D60" s="7">
        <f t="shared" si="2"/>
        <v>25800</v>
      </c>
      <c r="E60" s="7">
        <f t="shared" ref="E60:F60" si="61">if($D60&lt;15000,$D60*12/100,15000*12/100)</f>
        <v>1800</v>
      </c>
      <c r="F60" s="7">
        <f t="shared" si="61"/>
        <v>1800</v>
      </c>
      <c r="G60" s="7">
        <f t="shared" si="4"/>
        <v>3600</v>
      </c>
    </row>
    <row r="61">
      <c r="A61" s="100">
        <v>60.0</v>
      </c>
      <c r="B61" s="40" t="s">
        <v>451</v>
      </c>
      <c r="C61" s="69">
        <v>40000.0</v>
      </c>
      <c r="D61" s="7">
        <f t="shared" si="2"/>
        <v>24000</v>
      </c>
      <c r="E61" s="7">
        <f t="shared" ref="E61:F61" si="62">if($D61&lt;15000,$D61*12/100,15000*12/100)</f>
        <v>1800</v>
      </c>
      <c r="F61" s="7">
        <f t="shared" si="62"/>
        <v>1800</v>
      </c>
      <c r="G61" s="7">
        <f t="shared" si="4"/>
        <v>3600</v>
      </c>
    </row>
    <row r="62">
      <c r="A62" s="100">
        <v>61.0</v>
      </c>
      <c r="B62" s="40" t="s">
        <v>452</v>
      </c>
      <c r="C62" s="96">
        <v>13600.0</v>
      </c>
      <c r="D62" s="7">
        <f t="shared" si="2"/>
        <v>8160</v>
      </c>
      <c r="E62" s="7">
        <f t="shared" ref="E62:F62" si="63">if($D62&lt;15000,$D62*12/100,15000*12/100)</f>
        <v>979.2</v>
      </c>
      <c r="F62" s="7">
        <f t="shared" si="63"/>
        <v>979.2</v>
      </c>
      <c r="G62" s="7">
        <f t="shared" si="4"/>
        <v>1958.4</v>
      </c>
    </row>
    <row r="63">
      <c r="A63" s="100">
        <v>62.0</v>
      </c>
      <c r="B63" s="40" t="s">
        <v>454</v>
      </c>
      <c r="C63" s="96">
        <v>35767.0</v>
      </c>
      <c r="D63" s="7">
        <f t="shared" si="2"/>
        <v>21460.2</v>
      </c>
      <c r="E63" s="7">
        <f t="shared" ref="E63:F63" si="64">if($D63&lt;15000,$D63*12/100,15000*12/100)</f>
        <v>1800</v>
      </c>
      <c r="F63" s="7">
        <f t="shared" si="64"/>
        <v>1800</v>
      </c>
      <c r="G63" s="7">
        <f t="shared" si="4"/>
        <v>3600</v>
      </c>
    </row>
    <row r="64">
      <c r="A64" s="100">
        <v>63.0</v>
      </c>
      <c r="B64" s="40" t="s">
        <v>455</v>
      </c>
      <c r="C64" s="96">
        <v>23333.0</v>
      </c>
      <c r="D64" s="7">
        <f t="shared" si="2"/>
        <v>13999.8</v>
      </c>
      <c r="E64" s="7">
        <f t="shared" ref="E64:F64" si="65">if($D64&lt;15000,$D64*12/100,15000*12/100)</f>
        <v>1679.976</v>
      </c>
      <c r="F64" s="7">
        <f t="shared" si="65"/>
        <v>1679.976</v>
      </c>
      <c r="G64" s="7">
        <f t="shared" si="4"/>
        <v>3359.952</v>
      </c>
    </row>
    <row r="65">
      <c r="A65" s="100">
        <v>64.0</v>
      </c>
      <c r="B65" s="40" t="s">
        <v>456</v>
      </c>
      <c r="C65" s="96">
        <v>16533.0</v>
      </c>
      <c r="D65" s="7">
        <f t="shared" si="2"/>
        <v>9919.8</v>
      </c>
      <c r="E65" s="7">
        <f t="shared" ref="E65:F65" si="66">if($D65&lt;15000,$D65*12/100,15000*12/100)</f>
        <v>1190.376</v>
      </c>
      <c r="F65" s="7">
        <f t="shared" si="66"/>
        <v>1190.376</v>
      </c>
      <c r="G65" s="7">
        <f t="shared" si="4"/>
        <v>2380.752</v>
      </c>
    </row>
    <row r="66">
      <c r="A66" s="100">
        <v>65.0</v>
      </c>
      <c r="B66" s="40" t="s">
        <v>461</v>
      </c>
      <c r="C66" s="96">
        <v>14667.0</v>
      </c>
      <c r="D66" s="7">
        <f t="shared" si="2"/>
        <v>8800.2</v>
      </c>
      <c r="E66" s="7">
        <f t="shared" ref="E66:F66" si="67">if($D66&lt;15000,$D66*12/100,15000*12/100)</f>
        <v>1056.024</v>
      </c>
      <c r="F66" s="7">
        <f t="shared" si="67"/>
        <v>1056.024</v>
      </c>
      <c r="G66" s="7">
        <f t="shared" si="4"/>
        <v>2112.048</v>
      </c>
    </row>
    <row r="67">
      <c r="A67" s="100">
        <v>66.0</v>
      </c>
      <c r="B67" s="40" t="s">
        <v>437</v>
      </c>
      <c r="C67" s="96">
        <v>25000.0</v>
      </c>
      <c r="D67" s="7">
        <f t="shared" si="2"/>
        <v>15000</v>
      </c>
      <c r="E67" s="7">
        <f t="shared" ref="E67:F67" si="68">if($D67&lt;15000,$D67*12/100,15000*12/100)</f>
        <v>1800</v>
      </c>
      <c r="F67" s="7">
        <f t="shared" si="68"/>
        <v>1800</v>
      </c>
      <c r="G67" s="7">
        <f t="shared" si="4"/>
        <v>3600</v>
      </c>
    </row>
    <row r="68">
      <c r="A68" s="100">
        <v>67.0</v>
      </c>
      <c r="B68" s="40" t="s">
        <v>462</v>
      </c>
      <c r="C68" s="96">
        <v>17700.0</v>
      </c>
      <c r="D68" s="7">
        <f t="shared" si="2"/>
        <v>10620</v>
      </c>
      <c r="E68" s="7">
        <f t="shared" ref="E68:F68" si="69">if($D68&lt;15000,$D68*12/100,15000*12/100)</f>
        <v>1274.4</v>
      </c>
      <c r="F68" s="7">
        <f t="shared" si="69"/>
        <v>1274.4</v>
      </c>
      <c r="G68" s="7">
        <f t="shared" si="4"/>
        <v>2548.8</v>
      </c>
    </row>
    <row r="69">
      <c r="A69" s="100">
        <v>68.0</v>
      </c>
      <c r="B69" s="40" t="s">
        <v>463</v>
      </c>
      <c r="C69" s="96">
        <v>16000.0</v>
      </c>
      <c r="D69" s="7">
        <f t="shared" si="2"/>
        <v>9600</v>
      </c>
      <c r="E69" s="7">
        <f t="shared" ref="E69:F69" si="70">if($D69&lt;15000,$D69*12/100,15000*12/100)</f>
        <v>1152</v>
      </c>
      <c r="F69" s="7">
        <f t="shared" si="70"/>
        <v>1152</v>
      </c>
      <c r="G69" s="7">
        <f t="shared" si="4"/>
        <v>2304</v>
      </c>
    </row>
    <row r="70">
      <c r="A70" s="100">
        <v>69.0</v>
      </c>
      <c r="B70" s="40" t="s">
        <v>469</v>
      </c>
      <c r="C70" s="96">
        <v>17000.0</v>
      </c>
      <c r="D70" s="7">
        <f t="shared" si="2"/>
        <v>10200</v>
      </c>
      <c r="E70" s="7">
        <f t="shared" ref="E70:F70" si="71">if($D70&lt;15000,$D70*12/100,15000*12/100)</f>
        <v>1224</v>
      </c>
      <c r="F70" s="7">
        <f t="shared" si="71"/>
        <v>1224</v>
      </c>
      <c r="G70" s="7">
        <f t="shared" si="4"/>
        <v>2448</v>
      </c>
    </row>
    <row r="71">
      <c r="A71" s="100">
        <v>70.0</v>
      </c>
      <c r="B71" s="40" t="s">
        <v>470</v>
      </c>
      <c r="C71" s="96">
        <v>8800.0</v>
      </c>
      <c r="D71" s="7">
        <f t="shared" si="2"/>
        <v>5280</v>
      </c>
      <c r="E71" s="7">
        <f t="shared" ref="E71:F71" si="72">if($D71&lt;15000,$D71*12/100,15000*12/100)</f>
        <v>633.6</v>
      </c>
      <c r="F71" s="7">
        <f t="shared" si="72"/>
        <v>633.6</v>
      </c>
      <c r="G71" s="7">
        <f t="shared" si="4"/>
        <v>1267.2</v>
      </c>
    </row>
    <row r="72">
      <c r="A72" s="100">
        <v>71.0</v>
      </c>
      <c r="B72" s="40" t="s">
        <v>471</v>
      </c>
      <c r="C72" s="96">
        <v>8867.0</v>
      </c>
      <c r="D72" s="7">
        <f t="shared" si="2"/>
        <v>5320.2</v>
      </c>
      <c r="E72" s="7">
        <f t="shared" ref="E72:F72" si="73">if($D72&lt;15000,$D72*12/100,15000*12/100)</f>
        <v>638.424</v>
      </c>
      <c r="F72" s="7">
        <f t="shared" si="73"/>
        <v>638.424</v>
      </c>
      <c r="G72" s="7">
        <f t="shared" si="4"/>
        <v>1276.848</v>
      </c>
    </row>
    <row r="73">
      <c r="A73" s="100">
        <v>72.0</v>
      </c>
      <c r="B73" s="40" t="s">
        <v>282</v>
      </c>
      <c r="C73" s="96">
        <v>9000.0</v>
      </c>
      <c r="D73" s="7">
        <f t="shared" si="2"/>
        <v>5400</v>
      </c>
      <c r="E73" s="7">
        <f t="shared" ref="E73:F73" si="74">if($D73&lt;15000,$D73*12/100,15000*12/100)</f>
        <v>648</v>
      </c>
      <c r="F73" s="7">
        <f t="shared" si="74"/>
        <v>648</v>
      </c>
      <c r="G73" s="7">
        <f t="shared" si="4"/>
        <v>1296</v>
      </c>
    </row>
    <row r="74">
      <c r="A74" s="100">
        <v>73.0</v>
      </c>
      <c r="B74" s="40" t="s">
        <v>283</v>
      </c>
      <c r="C74" s="96">
        <v>10000.0</v>
      </c>
      <c r="D74" s="7">
        <f t="shared" si="2"/>
        <v>6000</v>
      </c>
      <c r="E74" s="7">
        <f t="shared" ref="E74:F74" si="75">if($D74&lt;15000,$D74*12/100,15000*12/100)</f>
        <v>720</v>
      </c>
      <c r="F74" s="7">
        <f t="shared" si="75"/>
        <v>720</v>
      </c>
      <c r="G74" s="7">
        <f t="shared" si="4"/>
        <v>1440</v>
      </c>
    </row>
    <row r="75">
      <c r="A75" s="100">
        <v>74.0</v>
      </c>
      <c r="B75" s="40" t="s">
        <v>268</v>
      </c>
      <c r="C75" s="96">
        <v>7000.0</v>
      </c>
      <c r="D75" s="7">
        <f t="shared" si="2"/>
        <v>4200</v>
      </c>
      <c r="E75" s="7">
        <f t="shared" ref="E75:F75" si="76">if($D75&lt;15000,$D75*12/100,15000*12/100)</f>
        <v>504</v>
      </c>
      <c r="F75" s="7">
        <f t="shared" si="76"/>
        <v>504</v>
      </c>
      <c r="G75" s="7">
        <f t="shared" si="4"/>
        <v>1008</v>
      </c>
    </row>
    <row r="76">
      <c r="A76" s="100">
        <v>75.0</v>
      </c>
      <c r="B76" s="40" t="s">
        <v>285</v>
      </c>
      <c r="C76" s="96">
        <v>9000.0</v>
      </c>
      <c r="D76" s="7">
        <f t="shared" si="2"/>
        <v>5400</v>
      </c>
      <c r="E76" s="7">
        <f t="shared" ref="E76:F76" si="77">if($D76&lt;15000,$D76*12/100,15000*12/100)</f>
        <v>648</v>
      </c>
      <c r="F76" s="7">
        <f t="shared" si="77"/>
        <v>648</v>
      </c>
      <c r="G76" s="7">
        <f t="shared" si="4"/>
        <v>1296</v>
      </c>
    </row>
    <row r="77">
      <c r="A77" s="100">
        <v>76.0</v>
      </c>
      <c r="B77" s="40" t="s">
        <v>464</v>
      </c>
      <c r="C77" s="96">
        <v>8000.0</v>
      </c>
      <c r="D77" s="7">
        <f t="shared" si="2"/>
        <v>4800</v>
      </c>
      <c r="E77" s="7">
        <f t="shared" ref="E77:F77" si="78">if($D77&lt;15000,$D77*12/100,15000*12/100)</f>
        <v>576</v>
      </c>
      <c r="F77" s="7">
        <f t="shared" si="78"/>
        <v>576</v>
      </c>
      <c r="G77" s="7">
        <f t="shared" si="4"/>
        <v>1152</v>
      </c>
    </row>
    <row r="78">
      <c r="A78" s="100">
        <v>77.0</v>
      </c>
      <c r="B78" s="40" t="s">
        <v>384</v>
      </c>
      <c r="C78" s="96">
        <v>26000.0</v>
      </c>
      <c r="D78" s="7">
        <f t="shared" si="2"/>
        <v>15600</v>
      </c>
      <c r="E78" s="7">
        <f t="shared" ref="E78:F78" si="79">if($D78&lt;15000,$D78*12/100,15000*12/100)</f>
        <v>1800</v>
      </c>
      <c r="F78" s="7">
        <f t="shared" si="79"/>
        <v>1800</v>
      </c>
      <c r="G78" s="7">
        <f t="shared" si="4"/>
        <v>3600</v>
      </c>
    </row>
    <row r="79">
      <c r="A79" s="100">
        <v>78.0</v>
      </c>
      <c r="B79" s="40" t="s">
        <v>282</v>
      </c>
      <c r="C79" s="96">
        <v>20667.0</v>
      </c>
      <c r="D79" s="7">
        <f t="shared" si="2"/>
        <v>12400.2</v>
      </c>
      <c r="E79" s="7">
        <f t="shared" ref="E79:F79" si="80">if($D79&lt;15000,$D79*12/100,15000*12/100)</f>
        <v>1488.024</v>
      </c>
      <c r="F79" s="7">
        <f t="shared" si="80"/>
        <v>1488.024</v>
      </c>
      <c r="G79" s="7">
        <f t="shared" si="4"/>
        <v>2976.048</v>
      </c>
    </row>
    <row r="80">
      <c r="A80" s="100">
        <v>79.0</v>
      </c>
      <c r="B80" s="40" t="s">
        <v>472</v>
      </c>
      <c r="C80" s="96">
        <v>11667.0</v>
      </c>
      <c r="D80" s="7">
        <f t="shared" si="2"/>
        <v>7000.2</v>
      </c>
      <c r="E80" s="7">
        <f t="shared" ref="E80:F80" si="81">if($D80&lt;15000,$D80*12/100,15000*12/100)</f>
        <v>840.024</v>
      </c>
      <c r="F80" s="7">
        <f t="shared" si="81"/>
        <v>840.024</v>
      </c>
      <c r="G80" s="7">
        <f t="shared" si="4"/>
        <v>1680.048</v>
      </c>
    </row>
    <row r="81">
      <c r="A81" s="100">
        <v>80.0</v>
      </c>
      <c r="B81" s="40" t="s">
        <v>473</v>
      </c>
      <c r="C81" s="96">
        <v>17000.0</v>
      </c>
      <c r="D81" s="7">
        <f t="shared" si="2"/>
        <v>10200</v>
      </c>
      <c r="E81" s="7">
        <f t="shared" ref="E81:F81" si="82">if($D81&lt;15000,$D81*12/100,15000*12/100)</f>
        <v>1224</v>
      </c>
      <c r="F81" s="7">
        <f t="shared" si="82"/>
        <v>1224</v>
      </c>
      <c r="G81" s="7">
        <f t="shared" si="4"/>
        <v>2448</v>
      </c>
    </row>
    <row r="82">
      <c r="A82" s="100">
        <v>81.0</v>
      </c>
      <c r="B82" s="40" t="s">
        <v>263</v>
      </c>
      <c r="C82" s="96">
        <v>9600.0</v>
      </c>
      <c r="D82" s="7">
        <f t="shared" si="2"/>
        <v>5760</v>
      </c>
      <c r="E82" s="7">
        <f t="shared" ref="E82:F82" si="83">if($D82&lt;15000,$D82*12/100,15000*12/100)</f>
        <v>691.2</v>
      </c>
      <c r="F82" s="7">
        <f t="shared" si="83"/>
        <v>691.2</v>
      </c>
      <c r="G82" s="7">
        <f t="shared" si="4"/>
        <v>1382.4</v>
      </c>
    </row>
    <row r="83">
      <c r="A83" s="100">
        <v>82.0</v>
      </c>
      <c r="B83" s="40" t="s">
        <v>389</v>
      </c>
      <c r="C83" s="96">
        <v>20000.0</v>
      </c>
      <c r="D83" s="7">
        <f t="shared" si="2"/>
        <v>12000</v>
      </c>
      <c r="E83" s="7">
        <f t="shared" ref="E83:F83" si="84">if($D83&lt;15000,$D83*12/100,15000*12/100)</f>
        <v>1440</v>
      </c>
      <c r="F83" s="7">
        <f t="shared" si="84"/>
        <v>1440</v>
      </c>
      <c r="G83" s="7">
        <f t="shared" si="4"/>
        <v>2880</v>
      </c>
    </row>
    <row r="84">
      <c r="A84" s="100">
        <v>83.0</v>
      </c>
      <c r="B84" s="40" t="s">
        <v>465</v>
      </c>
      <c r="C84" s="96">
        <v>24167.0</v>
      </c>
      <c r="D84" s="7">
        <f t="shared" si="2"/>
        <v>14500.2</v>
      </c>
      <c r="E84" s="7">
        <f t="shared" ref="E84:F84" si="85">if($D84&lt;15000,$D84*12/100,15000*12/100)</f>
        <v>1740.024</v>
      </c>
      <c r="F84" s="7">
        <f t="shared" si="85"/>
        <v>1740.024</v>
      </c>
      <c r="G84" s="7">
        <f t="shared" si="4"/>
        <v>3480.048</v>
      </c>
    </row>
    <row r="85">
      <c r="A85" s="100">
        <v>84.0</v>
      </c>
      <c r="B85" s="40" t="s">
        <v>438</v>
      </c>
      <c r="C85" s="96">
        <v>18050.0</v>
      </c>
      <c r="D85" s="7">
        <f t="shared" si="2"/>
        <v>10830</v>
      </c>
      <c r="E85" s="7">
        <f t="shared" ref="E85:F85" si="86">if($D85&lt;15000,$D85*12/100,15000*12/100)</f>
        <v>1299.6</v>
      </c>
      <c r="F85" s="7">
        <f t="shared" si="86"/>
        <v>1299.6</v>
      </c>
      <c r="G85" s="7">
        <f t="shared" si="4"/>
        <v>2599.2</v>
      </c>
    </row>
    <row r="86">
      <c r="A86" s="100">
        <v>85.0</v>
      </c>
      <c r="B86" s="30" t="s">
        <v>439</v>
      </c>
      <c r="C86" s="96">
        <v>22500.0</v>
      </c>
      <c r="D86" s="7">
        <f t="shared" si="2"/>
        <v>13500</v>
      </c>
      <c r="E86" s="7">
        <f t="shared" ref="E86:F86" si="87">if($D86&lt;15000,$D86*12/100,15000*12/100)</f>
        <v>1620</v>
      </c>
      <c r="F86" s="7">
        <f t="shared" si="87"/>
        <v>1620</v>
      </c>
      <c r="G86" s="7">
        <f t="shared" si="4"/>
        <v>3240</v>
      </c>
    </row>
    <row r="87">
      <c r="A87" s="100">
        <v>86.0</v>
      </c>
      <c r="B87" s="30" t="s">
        <v>466</v>
      </c>
      <c r="C87" s="96">
        <v>24000.0</v>
      </c>
      <c r="D87" s="7">
        <f t="shared" si="2"/>
        <v>14400</v>
      </c>
      <c r="E87" s="7">
        <f t="shared" ref="E87:F87" si="88">if($D87&lt;15000,$D87*12/100,15000*12/100)</f>
        <v>1728</v>
      </c>
      <c r="F87" s="7">
        <f t="shared" si="88"/>
        <v>1728</v>
      </c>
      <c r="G87" s="7">
        <f t="shared" si="4"/>
        <v>3456</v>
      </c>
    </row>
    <row r="88">
      <c r="A88" s="100">
        <v>87.0</v>
      </c>
      <c r="B88" s="40" t="s">
        <v>440</v>
      </c>
      <c r="C88" s="96">
        <v>25000.0</v>
      </c>
      <c r="D88" s="7">
        <f t="shared" si="2"/>
        <v>15000</v>
      </c>
      <c r="E88" s="7">
        <f t="shared" ref="E88:F88" si="89">if($D88&lt;15000,$D88*12/100,15000*12/100)</f>
        <v>1800</v>
      </c>
      <c r="F88" s="7">
        <f t="shared" si="89"/>
        <v>1800</v>
      </c>
      <c r="G88" s="7">
        <f t="shared" si="4"/>
        <v>3600</v>
      </c>
    </row>
    <row r="89">
      <c r="A89" s="100">
        <v>88.0</v>
      </c>
      <c r="B89" s="40" t="s">
        <v>441</v>
      </c>
      <c r="C89" s="96">
        <v>22500.0</v>
      </c>
      <c r="D89" s="7">
        <f t="shared" si="2"/>
        <v>13500</v>
      </c>
      <c r="E89" s="7">
        <f t="shared" ref="E89:F89" si="90">if($D89&lt;15000,$D89*12/100,15000*12/100)</f>
        <v>1620</v>
      </c>
      <c r="F89" s="7">
        <f t="shared" si="90"/>
        <v>1620</v>
      </c>
      <c r="G89" s="7">
        <f t="shared" si="4"/>
        <v>3240</v>
      </c>
    </row>
    <row r="90">
      <c r="A90" s="100">
        <v>89.0</v>
      </c>
      <c r="B90" s="40" t="s">
        <v>467</v>
      </c>
      <c r="C90" s="96">
        <v>17700.0</v>
      </c>
      <c r="D90" s="7">
        <f t="shared" si="2"/>
        <v>10620</v>
      </c>
      <c r="E90" s="7">
        <f t="shared" ref="E90:F90" si="91">if($D90&lt;15000,$D90*12/100,15000*12/100)</f>
        <v>1274.4</v>
      </c>
      <c r="F90" s="7">
        <f t="shared" si="91"/>
        <v>1274.4</v>
      </c>
      <c r="G90" s="7">
        <f t="shared" si="4"/>
        <v>2548.8</v>
      </c>
    </row>
    <row r="91">
      <c r="A91" s="100">
        <v>90.0</v>
      </c>
      <c r="B91" s="40" t="s">
        <v>474</v>
      </c>
      <c r="C91" s="96">
        <v>18000.0</v>
      </c>
      <c r="D91" s="7">
        <f t="shared" si="2"/>
        <v>10800</v>
      </c>
      <c r="E91" s="7">
        <f t="shared" ref="E91:F91" si="92">if($D91&lt;15000,$D91*12/100,15000*12/100)</f>
        <v>1296</v>
      </c>
      <c r="F91" s="7">
        <f t="shared" si="92"/>
        <v>1296</v>
      </c>
      <c r="G91" s="7">
        <f t="shared" si="4"/>
        <v>2592</v>
      </c>
    </row>
    <row r="92">
      <c r="A92" s="100">
        <v>91.0</v>
      </c>
      <c r="B92" s="40" t="s">
        <v>475</v>
      </c>
      <c r="C92" s="96">
        <v>27000.0</v>
      </c>
      <c r="D92" s="7">
        <f t="shared" si="2"/>
        <v>16200</v>
      </c>
      <c r="E92" s="7">
        <f t="shared" ref="E92:F92" si="93">if($D92&lt;15000,$D92*12/100,15000*12/100)</f>
        <v>1800</v>
      </c>
      <c r="F92" s="7">
        <f t="shared" si="93"/>
        <v>1800</v>
      </c>
      <c r="G92" s="7">
        <f t="shared" si="4"/>
        <v>3600</v>
      </c>
    </row>
    <row r="93">
      <c r="A93" s="9" t="s">
        <v>34</v>
      </c>
      <c r="B93" s="10"/>
      <c r="C93" s="11">
        <f t="shared" ref="C93:G93" si="94">sum(C2:C92)</f>
        <v>2105167</v>
      </c>
      <c r="D93" s="11">
        <f t="shared" si="94"/>
        <v>1263100.2</v>
      </c>
      <c r="E93" s="11">
        <f t="shared" si="94"/>
        <v>129188.088</v>
      </c>
      <c r="F93" s="11">
        <f t="shared" si="94"/>
        <v>129188.088</v>
      </c>
      <c r="G93" s="11">
        <f t="shared" si="94"/>
        <v>258376.176</v>
      </c>
    </row>
  </sheetData>
  <mergeCells count="1">
    <mergeCell ref="A93:B93"/>
  </mergeCells>
  <hyperlinks>
    <hyperlink r:id="rId1" ref="A1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381</v>
      </c>
      <c r="C2" s="96">
        <v>81000.0</v>
      </c>
      <c r="D2" s="7">
        <f t="shared" ref="D2:D91" si="2">C2*60/100</f>
        <v>48600</v>
      </c>
      <c r="E2" s="7">
        <f t="shared" ref="E2:F2" si="1">if($C2&lt;15000,$C2*12/100,15000*12/100)</f>
        <v>1800</v>
      </c>
      <c r="F2" s="7">
        <f t="shared" si="1"/>
        <v>1800</v>
      </c>
      <c r="G2" s="7">
        <f t="shared" ref="G2:G91" si="4">E2+F2</f>
        <v>3600</v>
      </c>
    </row>
    <row r="3">
      <c r="A3" s="8">
        <f t="shared" ref="A3:A91" si="5">A2+1</f>
        <v>2</v>
      </c>
      <c r="B3" s="46" t="s">
        <v>195</v>
      </c>
      <c r="C3" s="96">
        <v>59000.0</v>
      </c>
      <c r="D3" s="7">
        <f t="shared" si="2"/>
        <v>35400</v>
      </c>
      <c r="E3" s="7">
        <f t="shared" ref="E3:F3" si="3">if($C3&lt;15000,$C3*12/100,15000*12/100)</f>
        <v>1800</v>
      </c>
      <c r="F3" s="7">
        <f t="shared" si="3"/>
        <v>1800</v>
      </c>
      <c r="G3" s="7">
        <f t="shared" si="4"/>
        <v>3600</v>
      </c>
    </row>
    <row r="4">
      <c r="A4" s="8">
        <f t="shared" si="5"/>
        <v>3</v>
      </c>
      <c r="B4" s="46" t="s">
        <v>203</v>
      </c>
      <c r="C4" s="96">
        <v>43000.0</v>
      </c>
      <c r="D4" s="7">
        <f t="shared" si="2"/>
        <v>25800</v>
      </c>
      <c r="E4" s="7">
        <f t="shared" ref="E4:F4" si="6">if($C4&lt;15000,$C4*12/100,15000*12/100)</f>
        <v>1800</v>
      </c>
      <c r="F4" s="7">
        <f t="shared" si="6"/>
        <v>1800</v>
      </c>
      <c r="G4" s="7">
        <f t="shared" si="4"/>
        <v>3600</v>
      </c>
    </row>
    <row r="5">
      <c r="A5" s="8">
        <f t="shared" si="5"/>
        <v>4</v>
      </c>
      <c r="B5" s="46" t="s">
        <v>200</v>
      </c>
      <c r="C5" s="96">
        <v>40000.0</v>
      </c>
      <c r="D5" s="7">
        <f t="shared" si="2"/>
        <v>24000</v>
      </c>
      <c r="E5" s="7">
        <f t="shared" ref="E5:F5" si="7">if($C5&lt;15000,$C5*12/100,15000*12/100)</f>
        <v>1800</v>
      </c>
      <c r="F5" s="7">
        <f t="shared" si="7"/>
        <v>1800</v>
      </c>
      <c r="G5" s="7">
        <f t="shared" si="4"/>
        <v>3600</v>
      </c>
    </row>
    <row r="6">
      <c r="A6" s="8">
        <f t="shared" si="5"/>
        <v>5</v>
      </c>
      <c r="B6" s="46" t="s">
        <v>231</v>
      </c>
      <c r="C6" s="96">
        <v>29000.0</v>
      </c>
      <c r="D6" s="7">
        <f t="shared" si="2"/>
        <v>17400</v>
      </c>
      <c r="E6" s="7">
        <f t="shared" ref="E6:F6" si="8">if($C6&lt;15000,$C6*12/100,15000*12/100)</f>
        <v>1800</v>
      </c>
      <c r="F6" s="7">
        <f t="shared" si="8"/>
        <v>1800</v>
      </c>
      <c r="G6" s="7">
        <f t="shared" si="4"/>
        <v>3600</v>
      </c>
    </row>
    <row r="7">
      <c r="A7" s="8">
        <f t="shared" si="5"/>
        <v>6</v>
      </c>
      <c r="B7" s="46" t="s">
        <v>236</v>
      </c>
      <c r="C7" s="96">
        <v>24000.0</v>
      </c>
      <c r="D7" s="7">
        <f t="shared" si="2"/>
        <v>14400</v>
      </c>
      <c r="E7" s="7">
        <f t="shared" ref="E7:F7" si="9">if($C7&lt;15000,$C7*12/100,15000*12/100)</f>
        <v>1800</v>
      </c>
      <c r="F7" s="7">
        <f t="shared" si="9"/>
        <v>1800</v>
      </c>
      <c r="G7" s="7">
        <f t="shared" si="4"/>
        <v>3600</v>
      </c>
    </row>
    <row r="8">
      <c r="A8" s="8">
        <f t="shared" si="5"/>
        <v>7</v>
      </c>
      <c r="B8" s="46" t="s">
        <v>221</v>
      </c>
      <c r="C8" s="96">
        <v>27000.0</v>
      </c>
      <c r="D8" s="7">
        <f t="shared" si="2"/>
        <v>16200</v>
      </c>
      <c r="E8" s="7">
        <f t="shared" ref="E8:F8" si="10">if($C8&lt;15000,$C8*12/100,15000*12/100)</f>
        <v>1800</v>
      </c>
      <c r="F8" s="7">
        <f t="shared" si="10"/>
        <v>1800</v>
      </c>
      <c r="G8" s="7">
        <f t="shared" si="4"/>
        <v>3600</v>
      </c>
    </row>
    <row r="9">
      <c r="A9" s="8">
        <f t="shared" si="5"/>
        <v>8</v>
      </c>
      <c r="B9" s="46" t="s">
        <v>201</v>
      </c>
      <c r="C9" s="96">
        <v>30000.0</v>
      </c>
      <c r="D9" s="7">
        <f t="shared" si="2"/>
        <v>18000</v>
      </c>
      <c r="E9" s="7">
        <f t="shared" ref="E9:F9" si="11">if($C9&lt;15000,$C9*12/100,15000*12/100)</f>
        <v>1800</v>
      </c>
      <c r="F9" s="7">
        <f t="shared" si="11"/>
        <v>1800</v>
      </c>
      <c r="G9" s="7">
        <f t="shared" si="4"/>
        <v>3600</v>
      </c>
    </row>
    <row r="10">
      <c r="A10" s="8">
        <f t="shared" si="5"/>
        <v>9</v>
      </c>
      <c r="B10" s="46" t="s">
        <v>213</v>
      </c>
      <c r="C10" s="96">
        <v>26000.0</v>
      </c>
      <c r="D10" s="7">
        <f t="shared" si="2"/>
        <v>15600</v>
      </c>
      <c r="E10" s="7">
        <f t="shared" ref="E10:F10" si="12">if($C10&lt;15000,$C10*12/100,15000*12/100)</f>
        <v>1800</v>
      </c>
      <c r="F10" s="7">
        <f t="shared" si="12"/>
        <v>1800</v>
      </c>
      <c r="G10" s="7">
        <f t="shared" si="4"/>
        <v>3600</v>
      </c>
    </row>
    <row r="11">
      <c r="A11" s="8">
        <f t="shared" si="5"/>
        <v>10</v>
      </c>
      <c r="B11" s="46" t="s">
        <v>208</v>
      </c>
      <c r="C11" s="96">
        <v>33000.0</v>
      </c>
      <c r="D11" s="7">
        <f t="shared" si="2"/>
        <v>19800</v>
      </c>
      <c r="E11" s="7">
        <f t="shared" ref="E11:F11" si="13">if($C11&lt;15000,$C11*12/100,15000*12/100)</f>
        <v>1800</v>
      </c>
      <c r="F11" s="7">
        <f t="shared" si="13"/>
        <v>1800</v>
      </c>
      <c r="G11" s="7">
        <f t="shared" si="4"/>
        <v>3600</v>
      </c>
    </row>
    <row r="12">
      <c r="A12" s="8">
        <f t="shared" si="5"/>
        <v>11</v>
      </c>
      <c r="B12" s="46" t="s">
        <v>248</v>
      </c>
      <c r="C12" s="96">
        <v>30452.0</v>
      </c>
      <c r="D12" s="7">
        <f t="shared" si="2"/>
        <v>18271.2</v>
      </c>
      <c r="E12" s="7">
        <f t="shared" ref="E12:F12" si="14">if($C12&lt;15000,$C12*12/100,15000*12/100)</f>
        <v>1800</v>
      </c>
      <c r="F12" s="7">
        <f t="shared" si="14"/>
        <v>1800</v>
      </c>
      <c r="G12" s="7">
        <f t="shared" si="4"/>
        <v>3600</v>
      </c>
    </row>
    <row r="13">
      <c r="A13" s="8">
        <f t="shared" si="5"/>
        <v>12</v>
      </c>
      <c r="B13" s="46" t="s">
        <v>202</v>
      </c>
      <c r="C13" s="96">
        <v>29000.0</v>
      </c>
      <c r="D13" s="7">
        <f t="shared" si="2"/>
        <v>17400</v>
      </c>
      <c r="E13" s="7">
        <f t="shared" ref="E13:F13" si="15">if($C13&lt;15000,$C13*12/100,15000*12/100)</f>
        <v>1800</v>
      </c>
      <c r="F13" s="7">
        <f t="shared" si="15"/>
        <v>1800</v>
      </c>
      <c r="G13" s="7">
        <f t="shared" si="4"/>
        <v>3600</v>
      </c>
    </row>
    <row r="14">
      <c r="A14" s="8">
        <f t="shared" si="5"/>
        <v>13</v>
      </c>
      <c r="B14" s="26" t="s">
        <v>209</v>
      </c>
      <c r="C14" s="96">
        <v>32000.0</v>
      </c>
      <c r="D14" s="7">
        <f t="shared" si="2"/>
        <v>19200</v>
      </c>
      <c r="E14" s="7">
        <f t="shared" ref="E14:F14" si="16">if($C14&lt;15000,$C14*12/100,15000*12/100)</f>
        <v>1800</v>
      </c>
      <c r="F14" s="7">
        <f t="shared" si="16"/>
        <v>1800</v>
      </c>
      <c r="G14" s="7">
        <f t="shared" si="4"/>
        <v>3600</v>
      </c>
    </row>
    <row r="15">
      <c r="A15" s="8">
        <f t="shared" si="5"/>
        <v>14</v>
      </c>
      <c r="B15" s="46" t="s">
        <v>214</v>
      </c>
      <c r="C15" s="96">
        <v>28000.0</v>
      </c>
      <c r="D15" s="7">
        <f t="shared" si="2"/>
        <v>16800</v>
      </c>
      <c r="E15" s="7">
        <f t="shared" ref="E15:F15" si="17">if($C15&lt;15000,$C15*12/100,15000*12/100)</f>
        <v>1800</v>
      </c>
      <c r="F15" s="7">
        <f t="shared" si="17"/>
        <v>1800</v>
      </c>
      <c r="G15" s="7">
        <f t="shared" si="4"/>
        <v>3600</v>
      </c>
    </row>
    <row r="16">
      <c r="A16" s="8">
        <f t="shared" si="5"/>
        <v>15</v>
      </c>
      <c r="B16" s="46" t="s">
        <v>206</v>
      </c>
      <c r="C16" s="96">
        <v>27097.0</v>
      </c>
      <c r="D16" s="7">
        <f t="shared" si="2"/>
        <v>16258.2</v>
      </c>
      <c r="E16" s="7">
        <f t="shared" ref="E16:F16" si="18">if($C16&lt;15000,$C16*12/100,15000*12/100)</f>
        <v>1800</v>
      </c>
      <c r="F16" s="7">
        <f t="shared" si="18"/>
        <v>1800</v>
      </c>
      <c r="G16" s="7">
        <f t="shared" si="4"/>
        <v>3600</v>
      </c>
    </row>
    <row r="17">
      <c r="A17" s="8">
        <f t="shared" si="5"/>
        <v>16</v>
      </c>
      <c r="B17" s="46" t="s">
        <v>414</v>
      </c>
      <c r="C17" s="96">
        <v>23000.0</v>
      </c>
      <c r="D17" s="7">
        <f t="shared" si="2"/>
        <v>13800</v>
      </c>
      <c r="E17" s="7">
        <f t="shared" ref="E17:F17" si="19">if($C17&lt;15000,$C17*12/100,15000*12/100)</f>
        <v>1800</v>
      </c>
      <c r="F17" s="7">
        <f t="shared" si="19"/>
        <v>1800</v>
      </c>
      <c r="G17" s="7">
        <f t="shared" si="4"/>
        <v>3600</v>
      </c>
    </row>
    <row r="18">
      <c r="A18" s="8">
        <f t="shared" si="5"/>
        <v>17</v>
      </c>
      <c r="B18" s="46" t="s">
        <v>210</v>
      </c>
      <c r="C18" s="96">
        <v>33000.0</v>
      </c>
      <c r="D18" s="7">
        <f t="shared" si="2"/>
        <v>19800</v>
      </c>
      <c r="E18" s="7">
        <f t="shared" ref="E18:F18" si="20">if($C18&lt;15000,$C18*12/100,15000*12/100)</f>
        <v>1800</v>
      </c>
      <c r="F18" s="7">
        <f t="shared" si="20"/>
        <v>1800</v>
      </c>
      <c r="G18" s="7">
        <f t="shared" si="4"/>
        <v>3600</v>
      </c>
    </row>
    <row r="19">
      <c r="A19" s="8">
        <f t="shared" si="5"/>
        <v>18</v>
      </c>
      <c r="B19" s="46" t="s">
        <v>442</v>
      </c>
      <c r="C19" s="96">
        <v>31452.0</v>
      </c>
      <c r="D19" s="7">
        <f t="shared" si="2"/>
        <v>18871.2</v>
      </c>
      <c r="E19" s="7">
        <f t="shared" ref="E19:F19" si="21">if($C19&lt;15000,$C19*12/100,15000*12/100)</f>
        <v>1800</v>
      </c>
      <c r="F19" s="7">
        <f t="shared" si="21"/>
        <v>1800</v>
      </c>
      <c r="G19" s="7">
        <f t="shared" si="4"/>
        <v>3600</v>
      </c>
    </row>
    <row r="20">
      <c r="A20" s="8">
        <f t="shared" si="5"/>
        <v>19</v>
      </c>
      <c r="B20" s="46" t="s">
        <v>212</v>
      </c>
      <c r="C20" s="96">
        <v>28500.0</v>
      </c>
      <c r="D20" s="7">
        <f t="shared" si="2"/>
        <v>17100</v>
      </c>
      <c r="E20" s="7">
        <f t="shared" ref="E20:F20" si="22">if($C20&lt;15000,$C20*12/100,15000*12/100)</f>
        <v>1800</v>
      </c>
      <c r="F20" s="7">
        <f t="shared" si="22"/>
        <v>1800</v>
      </c>
      <c r="G20" s="7">
        <f t="shared" si="4"/>
        <v>3600</v>
      </c>
    </row>
    <row r="21">
      <c r="A21" s="8">
        <f t="shared" si="5"/>
        <v>20</v>
      </c>
      <c r="B21" s="46" t="s">
        <v>252</v>
      </c>
      <c r="C21" s="96">
        <v>23000.0</v>
      </c>
      <c r="D21" s="7">
        <f t="shared" si="2"/>
        <v>13800</v>
      </c>
      <c r="E21" s="7">
        <f t="shared" ref="E21:F21" si="23">if($C21&lt;15000,$C21*12/100,15000*12/100)</f>
        <v>1800</v>
      </c>
      <c r="F21" s="7">
        <f t="shared" si="23"/>
        <v>1800</v>
      </c>
      <c r="G21" s="7">
        <f t="shared" si="4"/>
        <v>3600</v>
      </c>
    </row>
    <row r="22">
      <c r="A22" s="8">
        <f t="shared" si="5"/>
        <v>21</v>
      </c>
      <c r="B22" s="46" t="s">
        <v>249</v>
      </c>
      <c r="C22" s="96">
        <v>18000.0</v>
      </c>
      <c r="D22" s="7">
        <f t="shared" si="2"/>
        <v>10800</v>
      </c>
      <c r="E22" s="7">
        <f t="shared" ref="E22:F22" si="24">if($C22&lt;15000,$C22*12/100,15000*12/100)</f>
        <v>1800</v>
      </c>
      <c r="F22" s="7">
        <f t="shared" si="24"/>
        <v>1800</v>
      </c>
      <c r="G22" s="7">
        <f t="shared" si="4"/>
        <v>3600</v>
      </c>
    </row>
    <row r="23">
      <c r="A23" s="8">
        <f t="shared" si="5"/>
        <v>22</v>
      </c>
      <c r="B23" s="46" t="s">
        <v>223</v>
      </c>
      <c r="C23" s="96">
        <v>25000.0</v>
      </c>
      <c r="D23" s="7">
        <f t="shared" si="2"/>
        <v>15000</v>
      </c>
      <c r="E23" s="7">
        <f t="shared" ref="E23:F23" si="25">if($C23&lt;15000,$C23*12/100,15000*12/100)</f>
        <v>1800</v>
      </c>
      <c r="F23" s="7">
        <f t="shared" si="25"/>
        <v>1800</v>
      </c>
      <c r="G23" s="7">
        <f t="shared" si="4"/>
        <v>3600</v>
      </c>
    </row>
    <row r="24">
      <c r="A24" s="8">
        <f t="shared" si="5"/>
        <v>23</v>
      </c>
      <c r="B24" s="46" t="s">
        <v>416</v>
      </c>
      <c r="C24" s="96">
        <v>29032.0</v>
      </c>
      <c r="D24" s="7">
        <f t="shared" si="2"/>
        <v>17419.2</v>
      </c>
      <c r="E24" s="7">
        <f t="shared" ref="E24:F24" si="26">if($C24&lt;15000,$C24*12/100,15000*12/100)</f>
        <v>1800</v>
      </c>
      <c r="F24" s="7">
        <f t="shared" si="26"/>
        <v>1800</v>
      </c>
      <c r="G24" s="7">
        <f t="shared" si="4"/>
        <v>3600</v>
      </c>
    </row>
    <row r="25">
      <c r="A25" s="8">
        <f t="shared" si="5"/>
        <v>24</v>
      </c>
      <c r="B25" s="46" t="s">
        <v>417</v>
      </c>
      <c r="C25" s="96">
        <v>24194.0</v>
      </c>
      <c r="D25" s="7">
        <f t="shared" si="2"/>
        <v>14516.4</v>
      </c>
      <c r="E25" s="7">
        <f t="shared" ref="E25:F25" si="27">if($C25&lt;15000,$C25*12/100,15000*12/100)</f>
        <v>1800</v>
      </c>
      <c r="F25" s="7">
        <f t="shared" si="27"/>
        <v>1800</v>
      </c>
      <c r="G25" s="7">
        <f t="shared" si="4"/>
        <v>3600</v>
      </c>
    </row>
    <row r="26">
      <c r="A26" s="8">
        <f t="shared" si="5"/>
        <v>25</v>
      </c>
      <c r="B26" s="46" t="s">
        <v>216</v>
      </c>
      <c r="C26" s="96">
        <v>27000.0</v>
      </c>
      <c r="D26" s="7">
        <f t="shared" si="2"/>
        <v>16200</v>
      </c>
      <c r="E26" s="7">
        <f t="shared" ref="E26:F26" si="28">if($C26&lt;15000,$C26*12/100,15000*12/100)</f>
        <v>1800</v>
      </c>
      <c r="F26" s="7">
        <f t="shared" si="28"/>
        <v>1800</v>
      </c>
      <c r="G26" s="7">
        <f t="shared" si="4"/>
        <v>3600</v>
      </c>
    </row>
    <row r="27">
      <c r="A27" s="8">
        <f t="shared" si="5"/>
        <v>26</v>
      </c>
      <c r="B27" s="46" t="s">
        <v>277</v>
      </c>
      <c r="C27" s="96">
        <v>16000.0</v>
      </c>
      <c r="D27" s="7">
        <f t="shared" si="2"/>
        <v>9600</v>
      </c>
      <c r="E27" s="7">
        <f t="shared" ref="E27:F27" si="29">if($C27&lt;15000,$C27*12/100,15000*12/100)</f>
        <v>1800</v>
      </c>
      <c r="F27" s="7">
        <f t="shared" si="29"/>
        <v>1800</v>
      </c>
      <c r="G27" s="7">
        <f t="shared" si="4"/>
        <v>3600</v>
      </c>
    </row>
    <row r="28">
      <c r="A28" s="8">
        <f t="shared" si="5"/>
        <v>27</v>
      </c>
      <c r="B28" s="46" t="s">
        <v>258</v>
      </c>
      <c r="C28" s="96">
        <v>17065.0</v>
      </c>
      <c r="D28" s="7">
        <f t="shared" si="2"/>
        <v>10239</v>
      </c>
      <c r="E28" s="7">
        <f t="shared" ref="E28:F28" si="30">if($C28&lt;15000,$C28*12/100,15000*12/100)</f>
        <v>1800</v>
      </c>
      <c r="F28" s="7">
        <f t="shared" si="30"/>
        <v>1800</v>
      </c>
      <c r="G28" s="7">
        <f t="shared" si="4"/>
        <v>3600</v>
      </c>
    </row>
    <row r="29">
      <c r="A29" s="8">
        <f t="shared" si="5"/>
        <v>28</v>
      </c>
      <c r="B29" s="46" t="s">
        <v>279</v>
      </c>
      <c r="C29" s="96">
        <v>23226.0</v>
      </c>
      <c r="D29" s="7">
        <f t="shared" si="2"/>
        <v>13935.6</v>
      </c>
      <c r="E29" s="7">
        <f t="shared" ref="E29:F29" si="31">if($C29&lt;15000,$C29*12/100,15000*12/100)</f>
        <v>1800</v>
      </c>
      <c r="F29" s="7">
        <f t="shared" si="31"/>
        <v>1800</v>
      </c>
      <c r="G29" s="7">
        <f t="shared" si="4"/>
        <v>3600</v>
      </c>
    </row>
    <row r="30">
      <c r="A30" s="8">
        <f t="shared" si="5"/>
        <v>29</v>
      </c>
      <c r="B30" s="46" t="s">
        <v>217</v>
      </c>
      <c r="C30" s="96">
        <v>23000.0</v>
      </c>
      <c r="D30" s="7">
        <f t="shared" si="2"/>
        <v>13800</v>
      </c>
      <c r="E30" s="7">
        <f t="shared" ref="E30:F30" si="32">if($C30&lt;15000,$C30*12/100,15000*12/100)</f>
        <v>1800</v>
      </c>
      <c r="F30" s="7">
        <f t="shared" si="32"/>
        <v>1800</v>
      </c>
      <c r="G30" s="7">
        <f t="shared" si="4"/>
        <v>3600</v>
      </c>
    </row>
    <row r="31">
      <c r="A31" s="8">
        <f t="shared" si="5"/>
        <v>30</v>
      </c>
      <c r="B31" s="46" t="s">
        <v>245</v>
      </c>
      <c r="C31" s="96">
        <v>17710.0</v>
      </c>
      <c r="D31" s="7">
        <f t="shared" si="2"/>
        <v>10626</v>
      </c>
      <c r="E31" s="7">
        <f t="shared" ref="E31:F31" si="33">if($C31&lt;15000,$C31*12/100,15000*12/100)</f>
        <v>1800</v>
      </c>
      <c r="F31" s="7">
        <f t="shared" si="33"/>
        <v>1800</v>
      </c>
      <c r="G31" s="7">
        <f t="shared" si="4"/>
        <v>3600</v>
      </c>
    </row>
    <row r="32">
      <c r="A32" s="8">
        <f t="shared" si="5"/>
        <v>31</v>
      </c>
      <c r="B32" s="26" t="s">
        <v>244</v>
      </c>
      <c r="C32" s="96">
        <v>20000.0</v>
      </c>
      <c r="D32" s="7">
        <f t="shared" si="2"/>
        <v>12000</v>
      </c>
      <c r="E32" s="7">
        <f t="shared" ref="E32:F32" si="34">if($C32&lt;15000,$C32*12/100,15000*12/100)</f>
        <v>1800</v>
      </c>
      <c r="F32" s="7">
        <f t="shared" si="34"/>
        <v>1800</v>
      </c>
      <c r="G32" s="7">
        <f t="shared" si="4"/>
        <v>3600</v>
      </c>
    </row>
    <row r="33">
      <c r="A33" s="8">
        <f t="shared" si="5"/>
        <v>32</v>
      </c>
      <c r="B33" s="46" t="s">
        <v>228</v>
      </c>
      <c r="C33" s="96">
        <v>18000.0</v>
      </c>
      <c r="D33" s="7">
        <f t="shared" si="2"/>
        <v>10800</v>
      </c>
      <c r="E33" s="7">
        <f t="shared" ref="E33:F33" si="35">if($C33&lt;15000,$C33*12/100,15000*12/100)</f>
        <v>1800</v>
      </c>
      <c r="F33" s="7">
        <f t="shared" si="35"/>
        <v>1800</v>
      </c>
      <c r="G33" s="7">
        <f t="shared" si="4"/>
        <v>3600</v>
      </c>
    </row>
    <row r="34">
      <c r="A34" s="8">
        <f t="shared" si="5"/>
        <v>33</v>
      </c>
      <c r="B34" s="46" t="s">
        <v>243</v>
      </c>
      <c r="C34" s="96">
        <v>15484.0</v>
      </c>
      <c r="D34" s="7">
        <f t="shared" si="2"/>
        <v>9290.4</v>
      </c>
      <c r="E34" s="7">
        <f t="shared" ref="E34:F34" si="36">if($C34&lt;15000,$C34*12/100,15000*12/100)</f>
        <v>1800</v>
      </c>
      <c r="F34" s="7">
        <f t="shared" si="36"/>
        <v>1800</v>
      </c>
      <c r="G34" s="7">
        <f t="shared" si="4"/>
        <v>3600</v>
      </c>
    </row>
    <row r="35">
      <c r="A35" s="8">
        <f t="shared" si="5"/>
        <v>34</v>
      </c>
      <c r="B35" s="46" t="s">
        <v>227</v>
      </c>
      <c r="C35" s="96">
        <v>17000.0</v>
      </c>
      <c r="D35" s="7">
        <f t="shared" si="2"/>
        <v>10200</v>
      </c>
      <c r="E35" s="7">
        <f t="shared" ref="E35:F35" si="37">if($C35&lt;15000,$C35*12/100,15000*12/100)</f>
        <v>1800</v>
      </c>
      <c r="F35" s="7">
        <f t="shared" si="37"/>
        <v>1800</v>
      </c>
      <c r="G35" s="7">
        <f t="shared" si="4"/>
        <v>3600</v>
      </c>
    </row>
    <row r="36">
      <c r="A36" s="8">
        <f t="shared" si="5"/>
        <v>35</v>
      </c>
      <c r="B36" s="46" t="s">
        <v>377</v>
      </c>
      <c r="C36" s="96">
        <v>19000.0</v>
      </c>
      <c r="D36" s="7">
        <f t="shared" si="2"/>
        <v>11400</v>
      </c>
      <c r="E36" s="7">
        <f t="shared" ref="E36:F36" si="38">if($C36&lt;15000,$C36*12/100,15000*12/100)</f>
        <v>1800</v>
      </c>
      <c r="F36" s="7">
        <f t="shared" si="38"/>
        <v>1800</v>
      </c>
      <c r="G36" s="7">
        <f t="shared" si="4"/>
        <v>3600</v>
      </c>
    </row>
    <row r="37">
      <c r="A37" s="8">
        <f t="shared" si="5"/>
        <v>36</v>
      </c>
      <c r="B37" s="46" t="s">
        <v>419</v>
      </c>
      <c r="C37" s="96">
        <v>16000.0</v>
      </c>
      <c r="D37" s="7">
        <f t="shared" si="2"/>
        <v>9600</v>
      </c>
      <c r="E37" s="7">
        <f t="shared" ref="E37:F37" si="39">if($C37&lt;15000,$C37*12/100,15000*12/100)</f>
        <v>1800</v>
      </c>
      <c r="F37" s="7">
        <f t="shared" si="39"/>
        <v>1800</v>
      </c>
      <c r="G37" s="7">
        <f t="shared" si="4"/>
        <v>3600</v>
      </c>
    </row>
    <row r="38">
      <c r="A38" s="8">
        <f t="shared" si="5"/>
        <v>37</v>
      </c>
      <c r="B38" s="40" t="s">
        <v>220</v>
      </c>
      <c r="C38" s="96">
        <v>27500.0</v>
      </c>
      <c r="D38" s="7">
        <f t="shared" si="2"/>
        <v>16500</v>
      </c>
      <c r="E38" s="7">
        <f t="shared" ref="E38:F38" si="40">if($C38&lt;15000,$C38*12/100,15000*12/100)</f>
        <v>1800</v>
      </c>
      <c r="F38" s="7">
        <f t="shared" si="40"/>
        <v>1800</v>
      </c>
      <c r="G38" s="7">
        <f t="shared" si="4"/>
        <v>3600</v>
      </c>
    </row>
    <row r="39">
      <c r="A39" s="8">
        <f t="shared" si="5"/>
        <v>38</v>
      </c>
      <c r="B39" s="40" t="s">
        <v>235</v>
      </c>
      <c r="C39" s="96">
        <v>22000.0</v>
      </c>
      <c r="D39" s="7">
        <f t="shared" si="2"/>
        <v>13200</v>
      </c>
      <c r="E39" s="7">
        <f t="shared" ref="E39:F39" si="41">if($C39&lt;15000,$C39*12/100,15000*12/100)</f>
        <v>1800</v>
      </c>
      <c r="F39" s="7">
        <f t="shared" si="41"/>
        <v>1800</v>
      </c>
      <c r="G39" s="7">
        <f t="shared" si="4"/>
        <v>3600</v>
      </c>
    </row>
    <row r="40">
      <c r="A40" s="8">
        <f t="shared" si="5"/>
        <v>39</v>
      </c>
      <c r="B40" s="40" t="s">
        <v>275</v>
      </c>
      <c r="C40" s="96">
        <v>16000.0</v>
      </c>
      <c r="D40" s="7">
        <f t="shared" si="2"/>
        <v>9600</v>
      </c>
      <c r="E40" s="7">
        <f t="shared" ref="E40:F40" si="42">if($C40&lt;15000,$C40*12/100,15000*12/100)</f>
        <v>1800</v>
      </c>
      <c r="F40" s="7">
        <f t="shared" si="42"/>
        <v>1800</v>
      </c>
      <c r="G40" s="7">
        <f t="shared" si="4"/>
        <v>3600</v>
      </c>
    </row>
    <row r="41">
      <c r="A41" s="8">
        <f t="shared" si="5"/>
        <v>40</v>
      </c>
      <c r="B41" s="40" t="s">
        <v>421</v>
      </c>
      <c r="C41" s="96">
        <v>14516.0</v>
      </c>
      <c r="D41" s="7">
        <f t="shared" si="2"/>
        <v>8709.6</v>
      </c>
      <c r="E41" s="7">
        <f t="shared" ref="E41:F41" si="43">if($C41&lt;15000,$C41*12/100,15000*12/100)</f>
        <v>1741.92</v>
      </c>
      <c r="F41" s="7">
        <f t="shared" si="43"/>
        <v>1741.92</v>
      </c>
      <c r="G41" s="7">
        <f t="shared" si="4"/>
        <v>3483.84</v>
      </c>
    </row>
    <row r="42">
      <c r="A42" s="8">
        <f t="shared" si="5"/>
        <v>41</v>
      </c>
      <c r="B42" s="40" t="s">
        <v>422</v>
      </c>
      <c r="C42" s="96">
        <v>27000.0</v>
      </c>
      <c r="D42" s="7">
        <f t="shared" si="2"/>
        <v>16200</v>
      </c>
      <c r="E42" s="7">
        <f t="shared" ref="E42:F42" si="44">if($C42&lt;15000,$C42*12/100,15000*12/100)</f>
        <v>1800</v>
      </c>
      <c r="F42" s="7">
        <f t="shared" si="44"/>
        <v>1800</v>
      </c>
      <c r="G42" s="7">
        <f t="shared" si="4"/>
        <v>3600</v>
      </c>
    </row>
    <row r="43">
      <c r="A43" s="8">
        <f t="shared" si="5"/>
        <v>42</v>
      </c>
      <c r="B43" s="40" t="s">
        <v>423</v>
      </c>
      <c r="C43" s="96">
        <v>13000.0</v>
      </c>
      <c r="D43" s="7">
        <f t="shared" si="2"/>
        <v>7800</v>
      </c>
      <c r="E43" s="7">
        <f t="shared" ref="E43:F43" si="45">if($C43&lt;15000,$C43*12/100,15000*12/100)</f>
        <v>1560</v>
      </c>
      <c r="F43" s="7">
        <f t="shared" si="45"/>
        <v>1560</v>
      </c>
      <c r="G43" s="7">
        <f t="shared" si="4"/>
        <v>3120</v>
      </c>
    </row>
    <row r="44">
      <c r="A44" s="8">
        <f t="shared" si="5"/>
        <v>43</v>
      </c>
      <c r="B44" s="40" t="s">
        <v>443</v>
      </c>
      <c r="C44" s="96">
        <v>14758.0</v>
      </c>
      <c r="D44" s="7">
        <f t="shared" si="2"/>
        <v>8854.8</v>
      </c>
      <c r="E44" s="7">
        <f t="shared" ref="E44:F44" si="46">if($C44&lt;15000,$C44*12/100,15000*12/100)</f>
        <v>1770.96</v>
      </c>
      <c r="F44" s="7">
        <f t="shared" si="46"/>
        <v>1770.96</v>
      </c>
      <c r="G44" s="7">
        <f t="shared" si="4"/>
        <v>3541.92</v>
      </c>
    </row>
    <row r="45">
      <c r="A45" s="8">
        <f t="shared" si="5"/>
        <v>44</v>
      </c>
      <c r="B45" s="40" t="s">
        <v>425</v>
      </c>
      <c r="C45" s="96">
        <v>23000.0</v>
      </c>
      <c r="D45" s="7">
        <f t="shared" si="2"/>
        <v>13800</v>
      </c>
      <c r="E45" s="7">
        <f t="shared" ref="E45:F45" si="47">if($C45&lt;15000,$C45*12/100,15000*12/100)</f>
        <v>1800</v>
      </c>
      <c r="F45" s="7">
        <f t="shared" si="47"/>
        <v>1800</v>
      </c>
      <c r="G45" s="7">
        <f t="shared" si="4"/>
        <v>3600</v>
      </c>
    </row>
    <row r="46">
      <c r="A46" s="8">
        <f t="shared" si="5"/>
        <v>45</v>
      </c>
      <c r="B46" s="40" t="s">
        <v>426</v>
      </c>
      <c r="C46" s="96">
        <v>20774.0</v>
      </c>
      <c r="D46" s="7">
        <f t="shared" si="2"/>
        <v>12464.4</v>
      </c>
      <c r="E46" s="7">
        <f t="shared" ref="E46:F46" si="48">if($C46&lt;15000,$C46*12/100,15000*12/100)</f>
        <v>1800</v>
      </c>
      <c r="F46" s="7">
        <f t="shared" si="48"/>
        <v>1800</v>
      </c>
      <c r="G46" s="7">
        <f t="shared" si="4"/>
        <v>3600</v>
      </c>
    </row>
    <row r="47">
      <c r="A47" s="8">
        <f t="shared" si="5"/>
        <v>46</v>
      </c>
      <c r="B47" s="40" t="s">
        <v>444</v>
      </c>
      <c r="C47" s="96">
        <v>16452.0</v>
      </c>
      <c r="D47" s="7">
        <f t="shared" si="2"/>
        <v>9871.2</v>
      </c>
      <c r="E47" s="7">
        <f t="shared" ref="E47:F47" si="49">if($C47&lt;15000,$C47*12/100,15000*12/100)</f>
        <v>1800</v>
      </c>
      <c r="F47" s="7">
        <f t="shared" si="49"/>
        <v>1800</v>
      </c>
      <c r="G47" s="7">
        <f t="shared" si="4"/>
        <v>3600</v>
      </c>
    </row>
    <row r="48">
      <c r="A48" s="8">
        <f t="shared" si="5"/>
        <v>47</v>
      </c>
      <c r="B48" s="40" t="s">
        <v>427</v>
      </c>
      <c r="C48" s="96">
        <v>16000.0</v>
      </c>
      <c r="D48" s="7">
        <f t="shared" si="2"/>
        <v>9600</v>
      </c>
      <c r="E48" s="7">
        <f t="shared" ref="E48:F48" si="50">if($C48&lt;15000,$C48*12/100,15000*12/100)</f>
        <v>1800</v>
      </c>
      <c r="F48" s="7">
        <f t="shared" si="50"/>
        <v>1800</v>
      </c>
      <c r="G48" s="7">
        <f t="shared" si="4"/>
        <v>3600</v>
      </c>
    </row>
    <row r="49">
      <c r="A49" s="8">
        <f t="shared" si="5"/>
        <v>48</v>
      </c>
      <c r="B49" s="40" t="s">
        <v>428</v>
      </c>
      <c r="C49" s="96">
        <v>29500.0</v>
      </c>
      <c r="D49" s="7">
        <f t="shared" si="2"/>
        <v>17700</v>
      </c>
      <c r="E49" s="7">
        <f t="shared" ref="E49:F49" si="51">if($C49&lt;15000,$C49*12/100,15000*12/100)</f>
        <v>1800</v>
      </c>
      <c r="F49" s="7">
        <f t="shared" si="51"/>
        <v>1800</v>
      </c>
      <c r="G49" s="7">
        <f t="shared" si="4"/>
        <v>3600</v>
      </c>
    </row>
    <row r="50">
      <c r="A50" s="8">
        <f t="shared" si="5"/>
        <v>49</v>
      </c>
      <c r="B50" s="40" t="s">
        <v>429</v>
      </c>
      <c r="C50" s="96">
        <v>70000.0</v>
      </c>
      <c r="D50" s="7">
        <f t="shared" si="2"/>
        <v>42000</v>
      </c>
      <c r="E50" s="7">
        <f t="shared" ref="E50:F50" si="52">if($C50&lt;15000,$C50*12/100,15000*12/100)</f>
        <v>1800</v>
      </c>
      <c r="F50" s="7">
        <f t="shared" si="52"/>
        <v>1800</v>
      </c>
      <c r="G50" s="7">
        <f t="shared" si="4"/>
        <v>3600</v>
      </c>
    </row>
    <row r="51">
      <c r="A51" s="8">
        <f t="shared" si="5"/>
        <v>50</v>
      </c>
      <c r="B51" s="40" t="s">
        <v>430</v>
      </c>
      <c r="C51" s="96">
        <v>18000.0</v>
      </c>
      <c r="D51" s="7">
        <f t="shared" si="2"/>
        <v>10800</v>
      </c>
      <c r="E51" s="7">
        <f t="shared" ref="E51:F51" si="53">if($C51&lt;15000,$C51*12/100,15000*12/100)</f>
        <v>1800</v>
      </c>
      <c r="F51" s="7">
        <f t="shared" si="53"/>
        <v>1800</v>
      </c>
      <c r="G51" s="7">
        <f t="shared" si="4"/>
        <v>3600</v>
      </c>
    </row>
    <row r="52">
      <c r="A52" s="8">
        <f t="shared" si="5"/>
        <v>51</v>
      </c>
      <c r="B52" s="40" t="s">
        <v>431</v>
      </c>
      <c r="C52" s="96">
        <v>10484.0</v>
      </c>
      <c r="D52" s="7">
        <f t="shared" si="2"/>
        <v>6290.4</v>
      </c>
      <c r="E52" s="7">
        <f t="shared" ref="E52:F52" si="54">if($C52&lt;15000,$C52*12/100,15000*12/100)</f>
        <v>1258.08</v>
      </c>
      <c r="F52" s="7">
        <f t="shared" si="54"/>
        <v>1258.08</v>
      </c>
      <c r="G52" s="7">
        <f t="shared" si="4"/>
        <v>2516.16</v>
      </c>
    </row>
    <row r="53">
      <c r="A53" s="8">
        <f t="shared" si="5"/>
        <v>52</v>
      </c>
      <c r="B53" s="40" t="s">
        <v>432</v>
      </c>
      <c r="C53" s="96">
        <v>18000.0</v>
      </c>
      <c r="D53" s="7">
        <f t="shared" si="2"/>
        <v>10800</v>
      </c>
      <c r="E53" s="7">
        <f t="shared" ref="E53:F53" si="55">if($C53&lt;15000,$C53*12/100,15000*12/100)</f>
        <v>1800</v>
      </c>
      <c r="F53" s="7">
        <f t="shared" si="55"/>
        <v>1800</v>
      </c>
      <c r="G53" s="7">
        <f t="shared" si="4"/>
        <v>3600</v>
      </c>
    </row>
    <row r="54">
      <c r="A54" s="8">
        <f t="shared" si="5"/>
        <v>53</v>
      </c>
      <c r="B54" s="40" t="s">
        <v>433</v>
      </c>
      <c r="C54" s="96">
        <v>15000.0</v>
      </c>
      <c r="D54" s="7">
        <f t="shared" si="2"/>
        <v>9000</v>
      </c>
      <c r="E54" s="7">
        <f t="shared" ref="E54:F54" si="56">if($C54&lt;15000,$C54*12/100,15000*12/100)</f>
        <v>1800</v>
      </c>
      <c r="F54" s="7">
        <f t="shared" si="56"/>
        <v>1800</v>
      </c>
      <c r="G54" s="7">
        <f t="shared" si="4"/>
        <v>3600</v>
      </c>
    </row>
    <row r="55">
      <c r="A55" s="8">
        <f t="shared" si="5"/>
        <v>54</v>
      </c>
      <c r="B55" s="40" t="s">
        <v>445</v>
      </c>
      <c r="C55" s="96">
        <v>17000.0</v>
      </c>
      <c r="D55" s="7">
        <f t="shared" si="2"/>
        <v>10200</v>
      </c>
      <c r="E55" s="7">
        <f t="shared" ref="E55:F55" si="57">if($C55&lt;15000,$C55*12/100,15000*12/100)</f>
        <v>1800</v>
      </c>
      <c r="F55" s="7">
        <f t="shared" si="57"/>
        <v>1800</v>
      </c>
      <c r="G55" s="7">
        <f t="shared" si="4"/>
        <v>3600</v>
      </c>
    </row>
    <row r="56">
      <c r="A56" s="8">
        <f t="shared" si="5"/>
        <v>55</v>
      </c>
      <c r="B56" s="40" t="s">
        <v>446</v>
      </c>
      <c r="C56" s="96">
        <v>18000.0</v>
      </c>
      <c r="D56" s="7">
        <f t="shared" si="2"/>
        <v>10800</v>
      </c>
      <c r="E56" s="7">
        <f t="shared" ref="E56:F56" si="58">if($C56&lt;15000,$C56*12/100,15000*12/100)</f>
        <v>1800</v>
      </c>
      <c r="F56" s="7">
        <f t="shared" si="58"/>
        <v>1800</v>
      </c>
      <c r="G56" s="7">
        <f t="shared" si="4"/>
        <v>3600</v>
      </c>
    </row>
    <row r="57">
      <c r="A57" s="8">
        <f t="shared" si="5"/>
        <v>56</v>
      </c>
      <c r="B57" s="40" t="s">
        <v>447</v>
      </c>
      <c r="C57" s="96">
        <v>15097.0</v>
      </c>
      <c r="D57" s="7">
        <f t="shared" si="2"/>
        <v>9058.2</v>
      </c>
      <c r="E57" s="7">
        <f t="shared" ref="E57:F57" si="59">if($C57&lt;15000,$C57*12/100,15000*12/100)</f>
        <v>1800</v>
      </c>
      <c r="F57" s="7">
        <f t="shared" si="59"/>
        <v>1800</v>
      </c>
      <c r="G57" s="7">
        <f t="shared" si="4"/>
        <v>3600</v>
      </c>
    </row>
    <row r="58">
      <c r="A58" s="8">
        <f t="shared" si="5"/>
        <v>57</v>
      </c>
      <c r="B58" s="40" t="s">
        <v>448</v>
      </c>
      <c r="C58" s="96">
        <v>41323.0</v>
      </c>
      <c r="D58" s="7">
        <f t="shared" si="2"/>
        <v>24793.8</v>
      </c>
      <c r="E58" s="7">
        <f t="shared" ref="E58:F58" si="60">if($C58&lt;15000,$C58*12/100,15000*12/100)</f>
        <v>1800</v>
      </c>
      <c r="F58" s="7">
        <f t="shared" si="60"/>
        <v>1800</v>
      </c>
      <c r="G58" s="7">
        <f t="shared" si="4"/>
        <v>3600</v>
      </c>
    </row>
    <row r="59">
      <c r="A59" s="8">
        <f t="shared" si="5"/>
        <v>58</v>
      </c>
      <c r="B59" s="40" t="s">
        <v>450</v>
      </c>
      <c r="C59" s="96">
        <v>43000.0</v>
      </c>
      <c r="D59" s="7">
        <f t="shared" si="2"/>
        <v>25800</v>
      </c>
      <c r="E59" s="7">
        <f t="shared" ref="E59:F59" si="61">if($C59&lt;15000,$C59*12/100,15000*12/100)</f>
        <v>1800</v>
      </c>
      <c r="F59" s="7">
        <f t="shared" si="61"/>
        <v>1800</v>
      </c>
      <c r="G59" s="7">
        <f t="shared" si="4"/>
        <v>3600</v>
      </c>
    </row>
    <row r="60">
      <c r="A60" s="8">
        <f t="shared" si="5"/>
        <v>59</v>
      </c>
      <c r="B60" s="40" t="s">
        <v>451</v>
      </c>
      <c r="C60" s="96">
        <v>40000.0</v>
      </c>
      <c r="D60" s="7">
        <f t="shared" si="2"/>
        <v>24000</v>
      </c>
      <c r="E60" s="7">
        <f t="shared" ref="E60:F60" si="62">if($C60&lt;15000,$C60*12/100,15000*12/100)</f>
        <v>1800</v>
      </c>
      <c r="F60" s="7">
        <f t="shared" si="62"/>
        <v>1800</v>
      </c>
      <c r="G60" s="7">
        <f t="shared" si="4"/>
        <v>3600</v>
      </c>
    </row>
    <row r="61">
      <c r="A61" s="8">
        <f t="shared" si="5"/>
        <v>60</v>
      </c>
      <c r="B61" s="40" t="s">
        <v>452</v>
      </c>
      <c r="C61" s="96">
        <v>16000.0</v>
      </c>
      <c r="D61" s="7">
        <f t="shared" si="2"/>
        <v>9600</v>
      </c>
      <c r="E61" s="7">
        <f t="shared" ref="E61:F61" si="63">if($C61&lt;15000,$C61*12/100,15000*12/100)</f>
        <v>1800</v>
      </c>
      <c r="F61" s="7">
        <f t="shared" si="63"/>
        <v>1800</v>
      </c>
      <c r="G61" s="7">
        <f t="shared" si="4"/>
        <v>3600</v>
      </c>
    </row>
    <row r="62">
      <c r="A62" s="8">
        <f t="shared" si="5"/>
        <v>61</v>
      </c>
      <c r="B62" s="40" t="s">
        <v>454</v>
      </c>
      <c r="C62" s="96">
        <v>37000.0</v>
      </c>
      <c r="D62" s="7">
        <f t="shared" si="2"/>
        <v>22200</v>
      </c>
      <c r="E62" s="7">
        <f t="shared" ref="E62:F62" si="64">if($C62&lt;15000,$C62*12/100,15000*12/100)</f>
        <v>1800</v>
      </c>
      <c r="F62" s="7">
        <f t="shared" si="64"/>
        <v>1800</v>
      </c>
      <c r="G62" s="7">
        <f t="shared" si="4"/>
        <v>3600</v>
      </c>
    </row>
    <row r="63">
      <c r="A63" s="8">
        <f t="shared" si="5"/>
        <v>62</v>
      </c>
      <c r="B63" s="40" t="s">
        <v>455</v>
      </c>
      <c r="C63" s="96">
        <v>24194.0</v>
      </c>
      <c r="D63" s="7">
        <f t="shared" si="2"/>
        <v>14516.4</v>
      </c>
      <c r="E63" s="7">
        <f t="shared" ref="E63:F63" si="65">if($C63&lt;15000,$C63*12/100,15000*12/100)</f>
        <v>1800</v>
      </c>
      <c r="F63" s="7">
        <f t="shared" si="65"/>
        <v>1800</v>
      </c>
      <c r="G63" s="7">
        <f t="shared" si="4"/>
        <v>3600</v>
      </c>
    </row>
    <row r="64">
      <c r="A64" s="8">
        <f t="shared" si="5"/>
        <v>63</v>
      </c>
      <c r="B64" s="40" t="s">
        <v>456</v>
      </c>
      <c r="C64" s="96">
        <v>16000.0</v>
      </c>
      <c r="D64" s="7">
        <f t="shared" si="2"/>
        <v>9600</v>
      </c>
      <c r="E64" s="7">
        <f t="shared" ref="E64:F64" si="66">if($C64&lt;15000,$C64*12/100,15000*12/100)</f>
        <v>1800</v>
      </c>
      <c r="F64" s="7">
        <f t="shared" si="66"/>
        <v>1800</v>
      </c>
      <c r="G64" s="7">
        <f t="shared" si="4"/>
        <v>3600</v>
      </c>
    </row>
    <row r="65">
      <c r="A65" s="8">
        <f t="shared" si="5"/>
        <v>64</v>
      </c>
      <c r="B65" s="40" t="s">
        <v>461</v>
      </c>
      <c r="C65" s="96">
        <v>14968.0</v>
      </c>
      <c r="D65" s="7">
        <f t="shared" si="2"/>
        <v>8980.8</v>
      </c>
      <c r="E65" s="7">
        <f t="shared" ref="E65:F65" si="67">if($C65&lt;15000,$C65*12/100,15000*12/100)</f>
        <v>1796.16</v>
      </c>
      <c r="F65" s="7">
        <f t="shared" si="67"/>
        <v>1796.16</v>
      </c>
      <c r="G65" s="7">
        <f t="shared" si="4"/>
        <v>3592.32</v>
      </c>
    </row>
    <row r="66">
      <c r="A66" s="8">
        <f t="shared" si="5"/>
        <v>65</v>
      </c>
      <c r="B66" s="40" t="s">
        <v>437</v>
      </c>
      <c r="C66" s="96">
        <v>25000.0</v>
      </c>
      <c r="D66" s="7">
        <f t="shared" si="2"/>
        <v>15000</v>
      </c>
      <c r="E66" s="7">
        <f t="shared" ref="E66:F66" si="68">if($C66&lt;15000,$C66*12/100,15000*12/100)</f>
        <v>1800</v>
      </c>
      <c r="F66" s="7">
        <f t="shared" si="68"/>
        <v>1800</v>
      </c>
      <c r="G66" s="7">
        <f t="shared" si="4"/>
        <v>3600</v>
      </c>
    </row>
    <row r="67">
      <c r="A67" s="8">
        <f t="shared" si="5"/>
        <v>66</v>
      </c>
      <c r="B67" s="87" t="s">
        <v>462</v>
      </c>
      <c r="C67" s="88">
        <v>8710.0</v>
      </c>
      <c r="D67" s="7">
        <f t="shared" si="2"/>
        <v>5226</v>
      </c>
      <c r="E67" s="7">
        <f t="shared" ref="E67:F67" si="69">if($C67&lt;15000,$C67*12/100,15000*12/100)</f>
        <v>1045.2</v>
      </c>
      <c r="F67" s="7">
        <f t="shared" si="69"/>
        <v>1045.2</v>
      </c>
      <c r="G67" s="7">
        <f t="shared" si="4"/>
        <v>2090.4</v>
      </c>
    </row>
    <row r="68">
      <c r="A68" s="8">
        <f t="shared" si="5"/>
        <v>67</v>
      </c>
      <c r="B68" s="40" t="s">
        <v>463</v>
      </c>
      <c r="C68" s="96">
        <v>15226.0</v>
      </c>
      <c r="D68" s="7">
        <f t="shared" si="2"/>
        <v>9135.6</v>
      </c>
      <c r="E68" s="7">
        <f t="shared" ref="E68:F68" si="70">if($C68&lt;15000,$C68*12/100,15000*12/100)</f>
        <v>1800</v>
      </c>
      <c r="F68" s="7">
        <f t="shared" si="70"/>
        <v>1800</v>
      </c>
      <c r="G68" s="7">
        <f t="shared" si="4"/>
        <v>3600</v>
      </c>
    </row>
    <row r="69">
      <c r="A69" s="8">
        <f t="shared" si="5"/>
        <v>68</v>
      </c>
      <c r="B69" s="40" t="s">
        <v>469</v>
      </c>
      <c r="C69" s="96">
        <v>17000.0</v>
      </c>
      <c r="D69" s="7">
        <f t="shared" si="2"/>
        <v>10200</v>
      </c>
      <c r="E69" s="7">
        <f t="shared" ref="E69:F69" si="71">if($C69&lt;15000,$C69*12/100,15000*12/100)</f>
        <v>1800</v>
      </c>
      <c r="F69" s="7">
        <f t="shared" si="71"/>
        <v>1800</v>
      </c>
      <c r="G69" s="7">
        <f t="shared" si="4"/>
        <v>3600</v>
      </c>
    </row>
    <row r="70">
      <c r="A70" s="8">
        <f t="shared" si="5"/>
        <v>69</v>
      </c>
      <c r="B70" s="40" t="s">
        <v>470</v>
      </c>
      <c r="C70" s="96">
        <v>12000.0</v>
      </c>
      <c r="D70" s="7">
        <f t="shared" si="2"/>
        <v>7200</v>
      </c>
      <c r="E70" s="7">
        <f t="shared" ref="E70:F70" si="72">if($C70&lt;15000,$C70*12/100,15000*12/100)</f>
        <v>1440</v>
      </c>
      <c r="F70" s="7">
        <f t="shared" si="72"/>
        <v>1440</v>
      </c>
      <c r="G70" s="7">
        <f t="shared" si="4"/>
        <v>2880</v>
      </c>
    </row>
    <row r="71">
      <c r="A71" s="8">
        <f t="shared" si="5"/>
        <v>70</v>
      </c>
      <c r="B71" s="40" t="s">
        <v>471</v>
      </c>
      <c r="C71" s="96">
        <v>14000.0</v>
      </c>
      <c r="D71" s="7">
        <f t="shared" si="2"/>
        <v>8400</v>
      </c>
      <c r="E71" s="7">
        <f t="shared" ref="E71:F71" si="73">if($C71&lt;15000,$C71*12/100,15000*12/100)</f>
        <v>1680</v>
      </c>
      <c r="F71" s="7">
        <f t="shared" si="73"/>
        <v>1680</v>
      </c>
      <c r="G71" s="7">
        <f t="shared" si="4"/>
        <v>3360</v>
      </c>
    </row>
    <row r="72">
      <c r="A72" s="8">
        <f t="shared" si="5"/>
        <v>71</v>
      </c>
      <c r="B72" s="40" t="s">
        <v>282</v>
      </c>
      <c r="C72" s="96">
        <v>9000.0</v>
      </c>
      <c r="D72" s="7">
        <f t="shared" si="2"/>
        <v>5400</v>
      </c>
      <c r="E72" s="7">
        <f t="shared" ref="E72:F72" si="74">if($C72&lt;15000,$C72*12/100,15000*12/100)</f>
        <v>1080</v>
      </c>
      <c r="F72" s="7">
        <f t="shared" si="74"/>
        <v>1080</v>
      </c>
      <c r="G72" s="7">
        <f t="shared" si="4"/>
        <v>2160</v>
      </c>
    </row>
    <row r="73">
      <c r="A73" s="8">
        <f t="shared" si="5"/>
        <v>72</v>
      </c>
      <c r="B73" s="40" t="s">
        <v>283</v>
      </c>
      <c r="C73" s="96">
        <v>8750.0</v>
      </c>
      <c r="D73" s="7">
        <f t="shared" si="2"/>
        <v>5250</v>
      </c>
      <c r="E73" s="7">
        <f t="shared" ref="E73:F73" si="75">if($C73&lt;15000,$C73*12/100,15000*12/100)</f>
        <v>1050</v>
      </c>
      <c r="F73" s="7">
        <f t="shared" si="75"/>
        <v>1050</v>
      </c>
      <c r="G73" s="7">
        <f t="shared" si="4"/>
        <v>2100</v>
      </c>
    </row>
    <row r="74">
      <c r="A74" s="8">
        <f t="shared" si="5"/>
        <v>73</v>
      </c>
      <c r="B74" s="40" t="s">
        <v>268</v>
      </c>
      <c r="C74" s="96">
        <v>5250.0</v>
      </c>
      <c r="D74" s="7">
        <f t="shared" si="2"/>
        <v>3150</v>
      </c>
      <c r="E74" s="7">
        <f t="shared" ref="E74:F74" si="76">if($C74&lt;15000,$C74*12/100,15000*12/100)</f>
        <v>630</v>
      </c>
      <c r="F74" s="7">
        <f t="shared" si="76"/>
        <v>630</v>
      </c>
      <c r="G74" s="7">
        <f t="shared" si="4"/>
        <v>1260</v>
      </c>
    </row>
    <row r="75">
      <c r="A75" s="8">
        <f t="shared" si="5"/>
        <v>74</v>
      </c>
      <c r="B75" s="40" t="s">
        <v>285</v>
      </c>
      <c r="C75" s="96">
        <v>9000.0</v>
      </c>
      <c r="D75" s="7">
        <f t="shared" si="2"/>
        <v>5400</v>
      </c>
      <c r="E75" s="7">
        <f t="shared" ref="E75:F75" si="77">if($C75&lt;15000,$C75*12/100,15000*12/100)</f>
        <v>1080</v>
      </c>
      <c r="F75" s="7">
        <f t="shared" si="77"/>
        <v>1080</v>
      </c>
      <c r="G75" s="7">
        <f t="shared" si="4"/>
        <v>2160</v>
      </c>
    </row>
    <row r="76">
      <c r="A76" s="8">
        <f t="shared" si="5"/>
        <v>75</v>
      </c>
      <c r="B76" s="40" t="s">
        <v>457</v>
      </c>
      <c r="C76" s="96">
        <v>8000.0</v>
      </c>
      <c r="D76" s="7">
        <f t="shared" si="2"/>
        <v>4800</v>
      </c>
      <c r="E76" s="7">
        <f t="shared" ref="E76:F76" si="78">if($C76&lt;15000,$C76*12/100,15000*12/100)</f>
        <v>960</v>
      </c>
      <c r="F76" s="7">
        <f t="shared" si="78"/>
        <v>960</v>
      </c>
      <c r="G76" s="7">
        <f t="shared" si="4"/>
        <v>1920</v>
      </c>
    </row>
    <row r="77">
      <c r="A77" s="8">
        <f t="shared" si="5"/>
        <v>76</v>
      </c>
      <c r="B77" s="40" t="s">
        <v>384</v>
      </c>
      <c r="C77" s="104">
        <v>30000.0</v>
      </c>
      <c r="D77" s="7">
        <f t="shared" si="2"/>
        <v>18000</v>
      </c>
      <c r="E77" s="7">
        <f t="shared" ref="E77:F77" si="79">if($C77&lt;15000,$C77*12/100,15000*12/100)</f>
        <v>1800</v>
      </c>
      <c r="F77" s="7">
        <f t="shared" si="79"/>
        <v>1800</v>
      </c>
      <c r="G77" s="7">
        <f t="shared" si="4"/>
        <v>3600</v>
      </c>
    </row>
    <row r="78">
      <c r="A78" s="8">
        <f t="shared" si="5"/>
        <v>77</v>
      </c>
      <c r="B78" s="40" t="s">
        <v>282</v>
      </c>
      <c r="C78" s="104">
        <v>18710.0</v>
      </c>
      <c r="D78" s="7">
        <f t="shared" si="2"/>
        <v>11226</v>
      </c>
      <c r="E78" s="7">
        <f t="shared" ref="E78:F78" si="80">if($C78&lt;15000,$C78*12/100,15000*12/100)</f>
        <v>1800</v>
      </c>
      <c r="F78" s="7">
        <f t="shared" si="80"/>
        <v>1800</v>
      </c>
      <c r="G78" s="7">
        <f t="shared" si="4"/>
        <v>3600</v>
      </c>
    </row>
    <row r="79">
      <c r="A79" s="8">
        <f t="shared" si="5"/>
        <v>78</v>
      </c>
      <c r="B79" s="40" t="s">
        <v>472</v>
      </c>
      <c r="C79" s="104">
        <v>24194.0</v>
      </c>
      <c r="D79" s="7">
        <f t="shared" si="2"/>
        <v>14516.4</v>
      </c>
      <c r="E79" s="7">
        <f t="shared" ref="E79:F79" si="81">if($C79&lt;15000,$C79*12/100,15000*12/100)</f>
        <v>1800</v>
      </c>
      <c r="F79" s="7">
        <f t="shared" si="81"/>
        <v>1800</v>
      </c>
      <c r="G79" s="7">
        <f t="shared" si="4"/>
        <v>3600</v>
      </c>
    </row>
    <row r="80">
      <c r="A80" s="8">
        <f t="shared" si="5"/>
        <v>79</v>
      </c>
      <c r="B80" s="40" t="s">
        <v>473</v>
      </c>
      <c r="C80" s="104">
        <v>17000.0</v>
      </c>
      <c r="D80" s="7">
        <f t="shared" si="2"/>
        <v>10200</v>
      </c>
      <c r="E80" s="7">
        <f t="shared" ref="E80:F80" si="82">if($C80&lt;15000,$C80*12/100,15000*12/100)</f>
        <v>1800</v>
      </c>
      <c r="F80" s="7">
        <f t="shared" si="82"/>
        <v>1800</v>
      </c>
      <c r="G80" s="7">
        <f t="shared" si="4"/>
        <v>3600</v>
      </c>
    </row>
    <row r="81">
      <c r="A81" s="8">
        <f t="shared" si="5"/>
        <v>80</v>
      </c>
      <c r="B81" s="40" t="s">
        <v>263</v>
      </c>
      <c r="C81" s="104">
        <v>18000.0</v>
      </c>
      <c r="D81" s="7">
        <f t="shared" si="2"/>
        <v>10800</v>
      </c>
      <c r="E81" s="7">
        <f t="shared" ref="E81:F81" si="83">if($C81&lt;15000,$C81*12/100,15000*12/100)</f>
        <v>1800</v>
      </c>
      <c r="F81" s="7">
        <f t="shared" si="83"/>
        <v>1800</v>
      </c>
      <c r="G81" s="7">
        <f t="shared" si="4"/>
        <v>3600</v>
      </c>
    </row>
    <row r="82">
      <c r="A82" s="8">
        <f t="shared" si="5"/>
        <v>81</v>
      </c>
      <c r="B82" s="40" t="s">
        <v>389</v>
      </c>
      <c r="C82" s="104">
        <v>20000.0</v>
      </c>
      <c r="D82" s="7">
        <f t="shared" si="2"/>
        <v>12000</v>
      </c>
      <c r="E82" s="7">
        <f t="shared" ref="E82:F82" si="84">if($C82&lt;15000,$C82*12/100,15000*12/100)</f>
        <v>1800</v>
      </c>
      <c r="F82" s="7">
        <f t="shared" si="84"/>
        <v>1800</v>
      </c>
      <c r="G82" s="7">
        <f t="shared" si="4"/>
        <v>3600</v>
      </c>
    </row>
    <row r="83">
      <c r="A83" s="8">
        <f t="shared" si="5"/>
        <v>82</v>
      </c>
      <c r="B83" s="40" t="s">
        <v>465</v>
      </c>
      <c r="C83" s="104">
        <v>25000.0</v>
      </c>
      <c r="D83" s="7">
        <f t="shared" si="2"/>
        <v>15000</v>
      </c>
      <c r="E83" s="7">
        <f t="shared" ref="E83:F83" si="85">if($C83&lt;15000,$C83*12/100,15000*12/100)</f>
        <v>1800</v>
      </c>
      <c r="F83" s="7">
        <f t="shared" si="85"/>
        <v>1800</v>
      </c>
      <c r="G83" s="7">
        <f t="shared" si="4"/>
        <v>3600</v>
      </c>
    </row>
    <row r="84">
      <c r="A84" s="8">
        <f t="shared" si="5"/>
        <v>83</v>
      </c>
      <c r="B84" s="40" t="s">
        <v>438</v>
      </c>
      <c r="C84" s="104">
        <v>18081.0</v>
      </c>
      <c r="D84" s="7">
        <f t="shared" si="2"/>
        <v>10848.6</v>
      </c>
      <c r="E84" s="7">
        <f t="shared" ref="E84:F84" si="86">if($C84&lt;15000,$C84*12/100,15000*12/100)</f>
        <v>1800</v>
      </c>
      <c r="F84" s="7">
        <f t="shared" si="86"/>
        <v>1800</v>
      </c>
      <c r="G84" s="7">
        <f t="shared" si="4"/>
        <v>3600</v>
      </c>
    </row>
    <row r="85">
      <c r="A85" s="8">
        <f t="shared" si="5"/>
        <v>84</v>
      </c>
      <c r="B85" s="30" t="s">
        <v>439</v>
      </c>
      <c r="C85" s="104">
        <v>19758.0</v>
      </c>
      <c r="D85" s="7">
        <f t="shared" si="2"/>
        <v>11854.8</v>
      </c>
      <c r="E85" s="7">
        <f t="shared" ref="E85:F85" si="87">if($C85&lt;15000,$C85*12/100,15000*12/100)</f>
        <v>1800</v>
      </c>
      <c r="F85" s="7">
        <f t="shared" si="87"/>
        <v>1800</v>
      </c>
      <c r="G85" s="7">
        <f t="shared" si="4"/>
        <v>3600</v>
      </c>
    </row>
    <row r="86">
      <c r="A86" s="8">
        <f t="shared" si="5"/>
        <v>85</v>
      </c>
      <c r="B86" s="30" t="s">
        <v>466</v>
      </c>
      <c r="C86" s="104">
        <v>24000.0</v>
      </c>
      <c r="D86" s="7">
        <f t="shared" si="2"/>
        <v>14400</v>
      </c>
      <c r="E86" s="7">
        <f t="shared" ref="E86:F86" si="88">if($C86&lt;15000,$C86*12/100,15000*12/100)</f>
        <v>1800</v>
      </c>
      <c r="F86" s="7">
        <f t="shared" si="88"/>
        <v>1800</v>
      </c>
      <c r="G86" s="7">
        <f t="shared" si="4"/>
        <v>3600</v>
      </c>
    </row>
    <row r="87">
      <c r="A87" s="8">
        <f t="shared" si="5"/>
        <v>86</v>
      </c>
      <c r="B87" s="40" t="s">
        <v>440</v>
      </c>
      <c r="C87" s="104">
        <v>25000.0</v>
      </c>
      <c r="D87" s="7">
        <f t="shared" si="2"/>
        <v>15000</v>
      </c>
      <c r="E87" s="7">
        <f t="shared" ref="E87:F87" si="89">if($C87&lt;15000,$C87*12/100,15000*12/100)</f>
        <v>1800</v>
      </c>
      <c r="F87" s="7">
        <f t="shared" si="89"/>
        <v>1800</v>
      </c>
      <c r="G87" s="7">
        <f t="shared" si="4"/>
        <v>3600</v>
      </c>
    </row>
    <row r="88">
      <c r="A88" s="8">
        <f t="shared" si="5"/>
        <v>87</v>
      </c>
      <c r="B88" s="40" t="s">
        <v>441</v>
      </c>
      <c r="C88" s="104">
        <v>23387.0</v>
      </c>
      <c r="D88" s="7">
        <f t="shared" si="2"/>
        <v>14032.2</v>
      </c>
      <c r="E88" s="7">
        <f t="shared" ref="E88:F88" si="90">if($C88&lt;15000,$C88*12/100,15000*12/100)</f>
        <v>1800</v>
      </c>
      <c r="F88" s="7">
        <f t="shared" si="90"/>
        <v>1800</v>
      </c>
      <c r="G88" s="7">
        <f t="shared" si="4"/>
        <v>3600</v>
      </c>
    </row>
    <row r="89">
      <c r="A89" s="8">
        <f t="shared" si="5"/>
        <v>88</v>
      </c>
      <c r="B89" s="40" t="s">
        <v>467</v>
      </c>
      <c r="C89" s="104">
        <v>17129.0</v>
      </c>
      <c r="D89" s="7">
        <f t="shared" si="2"/>
        <v>10277.4</v>
      </c>
      <c r="E89" s="7">
        <f t="shared" ref="E89:F89" si="91">if($C89&lt;15000,$C89*12/100,15000*12/100)</f>
        <v>1800</v>
      </c>
      <c r="F89" s="7">
        <f t="shared" si="91"/>
        <v>1800</v>
      </c>
      <c r="G89" s="7">
        <f t="shared" si="4"/>
        <v>3600</v>
      </c>
    </row>
    <row r="90">
      <c r="A90" s="8">
        <f t="shared" si="5"/>
        <v>89</v>
      </c>
      <c r="B90" s="40" t="s">
        <v>474</v>
      </c>
      <c r="C90" s="104">
        <v>17419.0</v>
      </c>
      <c r="D90" s="7">
        <f t="shared" si="2"/>
        <v>10451.4</v>
      </c>
      <c r="E90" s="7">
        <f t="shared" ref="E90:F90" si="92">if($C90&lt;15000,$C90*12/100,15000*12/100)</f>
        <v>1800</v>
      </c>
      <c r="F90" s="7">
        <f t="shared" si="92"/>
        <v>1800</v>
      </c>
      <c r="G90" s="7">
        <f t="shared" si="4"/>
        <v>3600</v>
      </c>
    </row>
    <row r="91">
      <c r="A91" s="8">
        <f t="shared" si="5"/>
        <v>90</v>
      </c>
      <c r="B91" s="40" t="s">
        <v>475</v>
      </c>
      <c r="C91" s="104">
        <v>27548.0</v>
      </c>
      <c r="D91" s="7">
        <f t="shared" si="2"/>
        <v>16528.8</v>
      </c>
      <c r="E91" s="7">
        <f t="shared" ref="E91:F91" si="93">if($C91&lt;15000,$C91*12/100,15000*12/100)</f>
        <v>1800</v>
      </c>
      <c r="F91" s="7">
        <f t="shared" si="93"/>
        <v>1800</v>
      </c>
      <c r="G91" s="7">
        <f t="shared" si="4"/>
        <v>3600</v>
      </c>
    </row>
    <row r="92">
      <c r="A92" s="9" t="s">
        <v>34</v>
      </c>
      <c r="B92" s="10"/>
      <c r="C92" s="11">
        <f t="shared" ref="C92:G92" si="94">sum(C2:C91)</f>
        <v>2114940</v>
      </c>
      <c r="D92" s="11">
        <f t="shared" si="94"/>
        <v>1268964</v>
      </c>
      <c r="E92" s="11">
        <f t="shared" si="94"/>
        <v>155692.32</v>
      </c>
      <c r="F92" s="11">
        <f t="shared" si="94"/>
        <v>155692.32</v>
      </c>
      <c r="G92" s="11">
        <f t="shared" si="94"/>
        <v>311384.64</v>
      </c>
    </row>
  </sheetData>
  <mergeCells count="1">
    <mergeCell ref="A92:B92"/>
  </mergeCells>
  <hyperlinks>
    <hyperlink r:id="rId1" ref="A1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v>1.0</v>
      </c>
      <c r="B2" s="46" t="s">
        <v>476</v>
      </c>
      <c r="C2" s="105">
        <v>81000.0</v>
      </c>
      <c r="D2" s="7">
        <f t="shared" ref="D2:D91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1" si="4">E2+F2</f>
        <v>3600</v>
      </c>
      <c r="I2" s="106"/>
      <c r="J2" s="107"/>
    </row>
    <row r="3">
      <c r="A3" s="8">
        <f t="shared" ref="A3:A91" si="5">A2+1</f>
        <v>2</v>
      </c>
      <c r="B3" s="46" t="s">
        <v>195</v>
      </c>
      <c r="C3" s="105">
        <v>59000.0</v>
      </c>
      <c r="D3" s="7">
        <f t="shared" si="2"/>
        <v>35400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I3" s="106"/>
      <c r="J3" s="107"/>
    </row>
    <row r="4">
      <c r="A4" s="8">
        <f t="shared" si="5"/>
        <v>3</v>
      </c>
      <c r="B4" s="46" t="s">
        <v>203</v>
      </c>
      <c r="C4" s="105">
        <v>43000.0</v>
      </c>
      <c r="D4" s="7">
        <f t="shared" si="2"/>
        <v>25800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  <c r="I4" s="106"/>
      <c r="J4" s="107"/>
    </row>
    <row r="5">
      <c r="A5" s="8">
        <f t="shared" si="5"/>
        <v>4</v>
      </c>
      <c r="B5" s="46" t="s">
        <v>200</v>
      </c>
      <c r="C5" s="105">
        <v>40000.0</v>
      </c>
      <c r="D5" s="7">
        <f t="shared" si="2"/>
        <v>24000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I5" s="106"/>
      <c r="J5" s="107"/>
    </row>
    <row r="6">
      <c r="A6" s="8">
        <f t="shared" si="5"/>
        <v>5</v>
      </c>
      <c r="B6" s="46" t="s">
        <v>382</v>
      </c>
      <c r="C6" s="105">
        <v>25000.0</v>
      </c>
      <c r="D6" s="7">
        <f t="shared" si="2"/>
        <v>15000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I6" s="106"/>
      <c r="J6" s="107"/>
    </row>
    <row r="7">
      <c r="A7" s="8">
        <f t="shared" si="5"/>
        <v>6</v>
      </c>
      <c r="B7" s="46" t="s">
        <v>231</v>
      </c>
      <c r="C7" s="105">
        <v>29000.0</v>
      </c>
      <c r="D7" s="7">
        <f t="shared" si="2"/>
        <v>17400</v>
      </c>
      <c r="E7" s="7">
        <f t="shared" ref="E7:F7" si="9">if($D7&lt;15000,$D7*12/100,15000*12/100)</f>
        <v>1800</v>
      </c>
      <c r="F7" s="7">
        <f t="shared" si="9"/>
        <v>1800</v>
      </c>
      <c r="G7" s="7">
        <f t="shared" si="4"/>
        <v>3600</v>
      </c>
      <c r="I7" s="106"/>
      <c r="J7" s="107"/>
    </row>
    <row r="8">
      <c r="A8" s="8">
        <f t="shared" si="5"/>
        <v>7</v>
      </c>
      <c r="B8" s="46" t="s">
        <v>236</v>
      </c>
      <c r="C8" s="105">
        <v>24000.0</v>
      </c>
      <c r="D8" s="7">
        <f t="shared" si="2"/>
        <v>14400</v>
      </c>
      <c r="E8" s="7">
        <f t="shared" ref="E8:F8" si="10">if($D8&lt;15000,$D8*12/100,15000*12/100)</f>
        <v>1728</v>
      </c>
      <c r="F8" s="7">
        <f t="shared" si="10"/>
        <v>1728</v>
      </c>
      <c r="G8" s="7">
        <f t="shared" si="4"/>
        <v>3456</v>
      </c>
      <c r="I8" s="106"/>
      <c r="J8" s="107"/>
    </row>
    <row r="9">
      <c r="A9" s="8">
        <f t="shared" si="5"/>
        <v>8</v>
      </c>
      <c r="B9" s="46" t="s">
        <v>221</v>
      </c>
      <c r="C9" s="105">
        <v>25650.0</v>
      </c>
      <c r="D9" s="7">
        <f t="shared" si="2"/>
        <v>15390</v>
      </c>
      <c r="E9" s="7">
        <f t="shared" ref="E9:F9" si="11">if($D9&lt;15000,$D9*12/100,15000*12/100)</f>
        <v>1800</v>
      </c>
      <c r="F9" s="7">
        <f t="shared" si="11"/>
        <v>1800</v>
      </c>
      <c r="G9" s="7">
        <f t="shared" si="4"/>
        <v>3600</v>
      </c>
      <c r="I9" s="106"/>
      <c r="J9" s="106"/>
    </row>
    <row r="10">
      <c r="A10" s="8">
        <f t="shared" si="5"/>
        <v>9</v>
      </c>
      <c r="B10" s="46" t="s">
        <v>201</v>
      </c>
      <c r="C10" s="105">
        <v>29500.0</v>
      </c>
      <c r="D10" s="7">
        <f t="shared" si="2"/>
        <v>17700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  <c r="I10" s="106"/>
      <c r="J10" s="106"/>
    </row>
    <row r="11">
      <c r="A11" s="8">
        <f t="shared" si="5"/>
        <v>10</v>
      </c>
      <c r="B11" s="46" t="s">
        <v>213</v>
      </c>
      <c r="C11" s="105">
        <v>26000.0</v>
      </c>
      <c r="D11" s="7">
        <f t="shared" si="2"/>
        <v>15600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  <c r="I11" s="106"/>
      <c r="J11" s="107"/>
    </row>
    <row r="12">
      <c r="A12" s="8">
        <f t="shared" si="5"/>
        <v>11</v>
      </c>
      <c r="B12" s="46" t="s">
        <v>208</v>
      </c>
      <c r="C12" s="105">
        <v>31900.0</v>
      </c>
      <c r="D12" s="7">
        <f t="shared" si="2"/>
        <v>19140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  <c r="I12" s="106"/>
      <c r="J12" s="106"/>
    </row>
    <row r="13">
      <c r="A13" s="8">
        <f t="shared" si="5"/>
        <v>12</v>
      </c>
      <c r="B13" s="46" t="s">
        <v>248</v>
      </c>
      <c r="C13" s="105">
        <v>32000.0</v>
      </c>
      <c r="D13" s="7">
        <f t="shared" si="2"/>
        <v>19200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I13" s="106"/>
      <c r="J13" s="107"/>
    </row>
    <row r="14">
      <c r="A14" s="8">
        <f t="shared" si="5"/>
        <v>13</v>
      </c>
      <c r="B14" s="26" t="s">
        <v>202</v>
      </c>
      <c r="C14" s="105">
        <v>28033.0</v>
      </c>
      <c r="D14" s="7">
        <f t="shared" si="2"/>
        <v>16819.8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I14" s="106"/>
      <c r="J14" s="106"/>
    </row>
    <row r="15">
      <c r="A15" s="8">
        <f t="shared" si="5"/>
        <v>14</v>
      </c>
      <c r="B15" s="46" t="s">
        <v>209</v>
      </c>
      <c r="C15" s="105">
        <v>32000.0</v>
      </c>
      <c r="D15" s="7">
        <f t="shared" si="2"/>
        <v>19200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I15" s="106"/>
      <c r="J15" s="107"/>
    </row>
    <row r="16">
      <c r="A16" s="8">
        <f t="shared" si="5"/>
        <v>15</v>
      </c>
      <c r="B16" s="46" t="s">
        <v>214</v>
      </c>
      <c r="C16" s="105">
        <v>28000.0</v>
      </c>
      <c r="D16" s="7">
        <f t="shared" si="2"/>
        <v>16800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I16" s="106"/>
      <c r="J16" s="107"/>
    </row>
    <row r="17">
      <c r="A17" s="8">
        <f t="shared" si="5"/>
        <v>16</v>
      </c>
      <c r="B17" s="46" t="s">
        <v>206</v>
      </c>
      <c r="C17" s="105">
        <v>25200.0</v>
      </c>
      <c r="D17" s="7">
        <f t="shared" si="2"/>
        <v>15120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I17" s="106"/>
      <c r="J17" s="106"/>
    </row>
    <row r="18">
      <c r="A18" s="8">
        <f t="shared" si="5"/>
        <v>17</v>
      </c>
      <c r="B18" s="46" t="s">
        <v>414</v>
      </c>
      <c r="C18" s="105">
        <v>23000.0</v>
      </c>
      <c r="D18" s="7">
        <f t="shared" si="2"/>
        <v>13800</v>
      </c>
      <c r="E18" s="7">
        <f t="shared" ref="E18:F18" si="20">if($D18&lt;15000,$D18*12/100,15000*12/100)</f>
        <v>1656</v>
      </c>
      <c r="F18" s="7">
        <f t="shared" si="20"/>
        <v>1656</v>
      </c>
      <c r="G18" s="7">
        <f t="shared" si="4"/>
        <v>3312</v>
      </c>
      <c r="I18" s="106"/>
      <c r="J18" s="107"/>
    </row>
    <row r="19">
      <c r="A19" s="8">
        <f t="shared" si="5"/>
        <v>18</v>
      </c>
      <c r="B19" s="46" t="s">
        <v>210</v>
      </c>
      <c r="C19" s="105">
        <v>32450.0</v>
      </c>
      <c r="D19" s="7">
        <f t="shared" si="2"/>
        <v>19470</v>
      </c>
      <c r="E19" s="7">
        <f t="shared" ref="E19:F19" si="21">if($D19&lt;15000,$D19*12/100,15000*12/100)</f>
        <v>1800</v>
      </c>
      <c r="F19" s="7">
        <f t="shared" si="21"/>
        <v>1800</v>
      </c>
      <c r="G19" s="7">
        <f t="shared" si="4"/>
        <v>3600</v>
      </c>
      <c r="I19" s="106"/>
      <c r="J19" s="106"/>
    </row>
    <row r="20">
      <c r="A20" s="8">
        <f t="shared" si="5"/>
        <v>19</v>
      </c>
      <c r="B20" s="46" t="s">
        <v>442</v>
      </c>
      <c r="C20" s="105">
        <v>30875.0</v>
      </c>
      <c r="D20" s="7">
        <f t="shared" si="2"/>
        <v>18525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  <c r="I20" s="106"/>
      <c r="J20" s="106"/>
    </row>
    <row r="21">
      <c r="A21" s="8">
        <f t="shared" si="5"/>
        <v>20</v>
      </c>
      <c r="B21" s="46" t="s">
        <v>212</v>
      </c>
      <c r="C21" s="105">
        <v>26125.0</v>
      </c>
      <c r="D21" s="7">
        <f t="shared" si="2"/>
        <v>15675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I21" s="106"/>
      <c r="J21" s="106"/>
    </row>
    <row r="22">
      <c r="A22" s="8">
        <f t="shared" si="5"/>
        <v>21</v>
      </c>
      <c r="B22" s="46" t="s">
        <v>252</v>
      </c>
      <c r="C22" s="105">
        <v>22233.0</v>
      </c>
      <c r="D22" s="7">
        <f t="shared" si="2"/>
        <v>13339.8</v>
      </c>
      <c r="E22" s="7">
        <f t="shared" ref="E22:F22" si="24">if($D22&lt;15000,$D22*12/100,15000*12/100)</f>
        <v>1600.776</v>
      </c>
      <c r="F22" s="7">
        <f t="shared" si="24"/>
        <v>1600.776</v>
      </c>
      <c r="G22" s="7">
        <f t="shared" si="4"/>
        <v>3201.552</v>
      </c>
      <c r="I22" s="106"/>
      <c r="J22" s="106"/>
    </row>
    <row r="23">
      <c r="A23" s="8">
        <f t="shared" si="5"/>
        <v>22</v>
      </c>
      <c r="B23" s="46" t="s">
        <v>249</v>
      </c>
      <c r="C23" s="105">
        <v>18000.0</v>
      </c>
      <c r="D23" s="7">
        <f t="shared" si="2"/>
        <v>10800</v>
      </c>
      <c r="E23" s="7">
        <f t="shared" ref="E23:F23" si="25">if($D23&lt;15000,$D23*12/100,15000*12/100)</f>
        <v>1296</v>
      </c>
      <c r="F23" s="7">
        <f t="shared" si="25"/>
        <v>1296</v>
      </c>
      <c r="G23" s="7">
        <f t="shared" si="4"/>
        <v>2592</v>
      </c>
      <c r="I23" s="106"/>
      <c r="J23" s="107"/>
    </row>
    <row r="24">
      <c r="A24" s="8">
        <f t="shared" si="5"/>
        <v>23</v>
      </c>
      <c r="B24" s="46" t="s">
        <v>223</v>
      </c>
      <c r="C24" s="105">
        <v>24583.0</v>
      </c>
      <c r="D24" s="7">
        <f t="shared" si="2"/>
        <v>14749.8</v>
      </c>
      <c r="E24" s="7">
        <f t="shared" ref="E24:F24" si="26">if($D24&lt;15000,$D24*12/100,15000*12/100)</f>
        <v>1769.976</v>
      </c>
      <c r="F24" s="7">
        <f t="shared" si="26"/>
        <v>1769.976</v>
      </c>
      <c r="G24" s="7">
        <f t="shared" si="4"/>
        <v>3539.952</v>
      </c>
      <c r="I24" s="106"/>
      <c r="J24" s="106"/>
    </row>
    <row r="25">
      <c r="A25" s="8">
        <f t="shared" si="5"/>
        <v>24</v>
      </c>
      <c r="B25" s="46" t="s">
        <v>416</v>
      </c>
      <c r="C25" s="105">
        <v>29000.0</v>
      </c>
      <c r="D25" s="7">
        <f t="shared" si="2"/>
        <v>17400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  <c r="I25" s="106"/>
      <c r="J25" s="106"/>
    </row>
    <row r="26">
      <c r="A26" s="8">
        <f t="shared" si="5"/>
        <v>25</v>
      </c>
      <c r="B26" s="46" t="s">
        <v>417</v>
      </c>
      <c r="C26" s="105">
        <v>25000.0</v>
      </c>
      <c r="D26" s="7">
        <f t="shared" si="2"/>
        <v>15000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  <c r="I26" s="106"/>
      <c r="J26" s="107"/>
    </row>
    <row r="27">
      <c r="A27" s="8">
        <f t="shared" si="5"/>
        <v>26</v>
      </c>
      <c r="B27" s="46" t="s">
        <v>216</v>
      </c>
      <c r="C27" s="105">
        <v>27000.0</v>
      </c>
      <c r="D27" s="7">
        <f t="shared" si="2"/>
        <v>16200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  <c r="I27" s="106"/>
      <c r="J27" s="107"/>
    </row>
    <row r="28">
      <c r="A28" s="8">
        <f t="shared" si="5"/>
        <v>27</v>
      </c>
      <c r="B28" s="46" t="s">
        <v>277</v>
      </c>
      <c r="C28" s="105">
        <v>16000.0</v>
      </c>
      <c r="D28" s="7">
        <f t="shared" si="2"/>
        <v>9600</v>
      </c>
      <c r="E28" s="7">
        <f t="shared" ref="E28:F28" si="30">if($D28&lt;15000,$D28*12/100,15000*12/100)</f>
        <v>1152</v>
      </c>
      <c r="F28" s="7">
        <f t="shared" si="30"/>
        <v>1152</v>
      </c>
      <c r="G28" s="7">
        <f t="shared" si="4"/>
        <v>2304</v>
      </c>
      <c r="I28" s="106"/>
      <c r="J28" s="107"/>
    </row>
    <row r="29">
      <c r="A29" s="8">
        <f t="shared" si="5"/>
        <v>28</v>
      </c>
      <c r="B29" s="46" t="s">
        <v>258</v>
      </c>
      <c r="C29" s="105">
        <v>19000.0</v>
      </c>
      <c r="D29" s="7">
        <f t="shared" si="2"/>
        <v>11400</v>
      </c>
      <c r="E29" s="7">
        <f t="shared" ref="E29:F29" si="31">if($D29&lt;15000,$D29*12/100,15000*12/100)</f>
        <v>1368</v>
      </c>
      <c r="F29" s="7">
        <f t="shared" si="31"/>
        <v>1368</v>
      </c>
      <c r="G29" s="7">
        <f t="shared" si="4"/>
        <v>2736</v>
      </c>
      <c r="I29" s="106"/>
      <c r="J29" s="106"/>
    </row>
    <row r="30">
      <c r="A30" s="8">
        <f t="shared" si="5"/>
        <v>29</v>
      </c>
      <c r="B30" s="46" t="s">
        <v>279</v>
      </c>
      <c r="C30" s="105">
        <v>20000.0</v>
      </c>
      <c r="D30" s="7">
        <f t="shared" si="2"/>
        <v>12000</v>
      </c>
      <c r="E30" s="7">
        <f t="shared" ref="E30:F30" si="32">if($D30&lt;15000,$D30*12/100,15000*12/100)</f>
        <v>1440</v>
      </c>
      <c r="F30" s="7">
        <f t="shared" si="32"/>
        <v>1440</v>
      </c>
      <c r="G30" s="7">
        <f t="shared" si="4"/>
        <v>2880</v>
      </c>
      <c r="I30" s="106"/>
      <c r="J30" s="106"/>
    </row>
    <row r="31">
      <c r="A31" s="8">
        <f t="shared" si="5"/>
        <v>30</v>
      </c>
      <c r="B31" s="46" t="s">
        <v>217</v>
      </c>
      <c r="C31" s="105">
        <v>20317.0</v>
      </c>
      <c r="D31" s="7">
        <f t="shared" si="2"/>
        <v>12190.2</v>
      </c>
      <c r="E31" s="7">
        <f t="shared" ref="E31:F31" si="33">if($D31&lt;15000,$D31*12/100,15000*12/100)</f>
        <v>1462.824</v>
      </c>
      <c r="F31" s="7">
        <f t="shared" si="33"/>
        <v>1462.824</v>
      </c>
      <c r="G31" s="7">
        <f t="shared" si="4"/>
        <v>2925.648</v>
      </c>
      <c r="I31" s="106"/>
      <c r="J31" s="106"/>
    </row>
    <row r="32">
      <c r="A32" s="8">
        <f t="shared" si="5"/>
        <v>31</v>
      </c>
      <c r="B32" s="26" t="s">
        <v>245</v>
      </c>
      <c r="C32" s="105">
        <v>18000.0</v>
      </c>
      <c r="D32" s="7">
        <f t="shared" si="2"/>
        <v>10800</v>
      </c>
      <c r="E32" s="7">
        <f t="shared" ref="E32:F32" si="34">if($D32&lt;15000,$D32*12/100,15000*12/100)</f>
        <v>1296</v>
      </c>
      <c r="F32" s="7">
        <f t="shared" si="34"/>
        <v>1296</v>
      </c>
      <c r="G32" s="7">
        <f t="shared" si="4"/>
        <v>2592</v>
      </c>
      <c r="I32" s="106"/>
      <c r="J32" s="107"/>
    </row>
    <row r="33">
      <c r="A33" s="8">
        <f t="shared" si="5"/>
        <v>32</v>
      </c>
      <c r="B33" s="46" t="s">
        <v>244</v>
      </c>
      <c r="C33" s="105">
        <v>19333.0</v>
      </c>
      <c r="D33" s="7">
        <f t="shared" si="2"/>
        <v>11599.8</v>
      </c>
      <c r="E33" s="7">
        <f t="shared" ref="E33:F33" si="35">if($D33&lt;15000,$D33*12/100,15000*12/100)</f>
        <v>1391.976</v>
      </c>
      <c r="F33" s="7">
        <f t="shared" si="35"/>
        <v>1391.976</v>
      </c>
      <c r="G33" s="7">
        <f t="shared" si="4"/>
        <v>2783.952</v>
      </c>
      <c r="I33" s="106"/>
      <c r="J33" s="106"/>
    </row>
    <row r="34">
      <c r="A34" s="8">
        <f t="shared" si="5"/>
        <v>33</v>
      </c>
      <c r="B34" s="46" t="s">
        <v>228</v>
      </c>
      <c r="C34" s="105">
        <v>17400.0</v>
      </c>
      <c r="D34" s="7">
        <f t="shared" si="2"/>
        <v>10440</v>
      </c>
      <c r="E34" s="7">
        <f t="shared" ref="E34:F34" si="36">if($D34&lt;15000,$D34*12/100,15000*12/100)</f>
        <v>1252.8</v>
      </c>
      <c r="F34" s="7">
        <f t="shared" si="36"/>
        <v>1252.8</v>
      </c>
      <c r="G34" s="7">
        <f t="shared" si="4"/>
        <v>2505.6</v>
      </c>
      <c r="I34" s="106"/>
      <c r="J34" s="106"/>
    </row>
    <row r="35">
      <c r="A35" s="8">
        <f t="shared" si="5"/>
        <v>34</v>
      </c>
      <c r="B35" s="46" t="s">
        <v>227</v>
      </c>
      <c r="C35" s="105">
        <v>16433.0</v>
      </c>
      <c r="D35" s="7">
        <f t="shared" si="2"/>
        <v>9859.8</v>
      </c>
      <c r="E35" s="7">
        <f t="shared" ref="E35:F35" si="37">if($D35&lt;15000,$D35*12/100,15000*12/100)</f>
        <v>1183.176</v>
      </c>
      <c r="F35" s="7">
        <f t="shared" si="37"/>
        <v>1183.176</v>
      </c>
      <c r="G35" s="7">
        <f t="shared" si="4"/>
        <v>2366.352</v>
      </c>
      <c r="I35" s="106"/>
      <c r="J35" s="106"/>
    </row>
    <row r="36">
      <c r="A36" s="8">
        <f t="shared" si="5"/>
        <v>35</v>
      </c>
      <c r="B36" s="46" t="s">
        <v>377</v>
      </c>
      <c r="C36" s="105">
        <v>19000.0</v>
      </c>
      <c r="D36" s="7">
        <f t="shared" si="2"/>
        <v>11400</v>
      </c>
      <c r="E36" s="7">
        <f t="shared" ref="E36:F36" si="38">if($D36&lt;15000,$D36*12/100,15000*12/100)</f>
        <v>1368</v>
      </c>
      <c r="F36" s="7">
        <f t="shared" si="38"/>
        <v>1368</v>
      </c>
      <c r="G36" s="7">
        <f t="shared" si="4"/>
        <v>2736</v>
      </c>
      <c r="I36" s="106"/>
      <c r="J36" s="107"/>
    </row>
    <row r="37">
      <c r="A37" s="8">
        <f t="shared" si="5"/>
        <v>36</v>
      </c>
      <c r="B37" s="46" t="s">
        <v>419</v>
      </c>
      <c r="C37" s="108">
        <v>16000.0</v>
      </c>
      <c r="D37" s="7">
        <f t="shared" si="2"/>
        <v>9600</v>
      </c>
      <c r="E37" s="7">
        <f t="shared" ref="E37:F37" si="39">if($D37&lt;15000,$D37*12/100,15000*12/100)</f>
        <v>1152</v>
      </c>
      <c r="F37" s="7">
        <f t="shared" si="39"/>
        <v>1152</v>
      </c>
      <c r="G37" s="7">
        <f t="shared" si="4"/>
        <v>2304</v>
      </c>
      <c r="I37" s="106"/>
      <c r="J37" s="107"/>
    </row>
    <row r="38">
      <c r="A38" s="8">
        <f t="shared" si="5"/>
        <v>37</v>
      </c>
      <c r="B38" s="40" t="s">
        <v>220</v>
      </c>
      <c r="C38" s="108">
        <v>27042.0</v>
      </c>
      <c r="D38" s="7">
        <f t="shared" si="2"/>
        <v>16225.2</v>
      </c>
      <c r="E38" s="7">
        <f t="shared" ref="E38:F38" si="40">if($D38&lt;15000,$D38*12/100,15000*12/100)</f>
        <v>1800</v>
      </c>
      <c r="F38" s="7">
        <f t="shared" si="40"/>
        <v>1800</v>
      </c>
      <c r="G38" s="7">
        <f t="shared" si="4"/>
        <v>3600</v>
      </c>
      <c r="I38" s="106"/>
      <c r="J38" s="106"/>
    </row>
    <row r="39">
      <c r="A39" s="8">
        <f t="shared" si="5"/>
        <v>38</v>
      </c>
      <c r="B39" s="40" t="s">
        <v>235</v>
      </c>
      <c r="C39" s="108">
        <v>22000.0</v>
      </c>
      <c r="D39" s="7">
        <f t="shared" si="2"/>
        <v>13200</v>
      </c>
      <c r="E39" s="7">
        <f t="shared" ref="E39:F39" si="41">if($D39&lt;15000,$D39*12/100,15000*12/100)</f>
        <v>1584</v>
      </c>
      <c r="F39" s="7">
        <f t="shared" si="41"/>
        <v>1584</v>
      </c>
      <c r="G39" s="7">
        <f t="shared" si="4"/>
        <v>3168</v>
      </c>
      <c r="I39" s="106"/>
      <c r="J39" s="107"/>
    </row>
    <row r="40">
      <c r="A40" s="8">
        <f t="shared" si="5"/>
        <v>39</v>
      </c>
      <c r="B40" s="40" t="s">
        <v>275</v>
      </c>
      <c r="C40" s="108">
        <v>15467.0</v>
      </c>
      <c r="D40" s="7">
        <f t="shared" si="2"/>
        <v>9280.2</v>
      </c>
      <c r="E40" s="7">
        <f t="shared" ref="E40:F40" si="42">if($D40&lt;15000,$D40*12/100,15000*12/100)</f>
        <v>1113.624</v>
      </c>
      <c r="F40" s="7">
        <f t="shared" si="42"/>
        <v>1113.624</v>
      </c>
      <c r="G40" s="7">
        <f t="shared" si="4"/>
        <v>2227.248</v>
      </c>
      <c r="I40" s="106"/>
      <c r="J40" s="106"/>
    </row>
    <row r="41">
      <c r="A41" s="8">
        <f t="shared" si="5"/>
        <v>40</v>
      </c>
      <c r="B41" s="40" t="s">
        <v>421</v>
      </c>
      <c r="C41" s="108">
        <v>14750.0</v>
      </c>
      <c r="D41" s="7">
        <f t="shared" si="2"/>
        <v>8850</v>
      </c>
      <c r="E41" s="7">
        <f t="shared" ref="E41:F41" si="43">if($D41&lt;15000,$D41*12/100,15000*12/100)</f>
        <v>1062</v>
      </c>
      <c r="F41" s="7">
        <f t="shared" si="43"/>
        <v>1062</v>
      </c>
      <c r="G41" s="7">
        <f t="shared" si="4"/>
        <v>2124</v>
      </c>
      <c r="I41" s="106"/>
      <c r="J41" s="106"/>
    </row>
    <row r="42">
      <c r="A42" s="8">
        <f t="shared" si="5"/>
        <v>41</v>
      </c>
      <c r="B42" s="40" t="s">
        <v>422</v>
      </c>
      <c r="C42" s="108">
        <v>27000.0</v>
      </c>
      <c r="D42" s="7">
        <f t="shared" si="2"/>
        <v>16200</v>
      </c>
      <c r="E42" s="7">
        <f t="shared" ref="E42:F42" si="44">if($D42&lt;15000,$D42*12/100,15000*12/100)</f>
        <v>1800</v>
      </c>
      <c r="F42" s="7">
        <f t="shared" si="44"/>
        <v>1800</v>
      </c>
      <c r="G42" s="7">
        <f t="shared" si="4"/>
        <v>3600</v>
      </c>
      <c r="I42" s="106"/>
      <c r="J42" s="107"/>
    </row>
    <row r="43">
      <c r="A43" s="8">
        <f t="shared" si="5"/>
        <v>42</v>
      </c>
      <c r="B43" s="40" t="s">
        <v>423</v>
      </c>
      <c r="C43" s="108">
        <v>13000.0</v>
      </c>
      <c r="D43" s="7">
        <f t="shared" si="2"/>
        <v>7800</v>
      </c>
      <c r="E43" s="7">
        <f t="shared" ref="E43:F43" si="45">if($D43&lt;15000,$D43*12/100,15000*12/100)</f>
        <v>936</v>
      </c>
      <c r="F43" s="7">
        <f t="shared" si="45"/>
        <v>936</v>
      </c>
      <c r="G43" s="7">
        <f t="shared" si="4"/>
        <v>1872</v>
      </c>
      <c r="I43" s="106"/>
      <c r="J43" s="107"/>
    </row>
    <row r="44">
      <c r="A44" s="8">
        <f t="shared" si="5"/>
        <v>43</v>
      </c>
      <c r="B44" s="40" t="s">
        <v>443</v>
      </c>
      <c r="C44" s="108">
        <v>15000.0</v>
      </c>
      <c r="D44" s="7">
        <f t="shared" si="2"/>
        <v>9000</v>
      </c>
      <c r="E44" s="7">
        <f t="shared" ref="E44:F44" si="46">if($D44&lt;15000,$D44*12/100,15000*12/100)</f>
        <v>1080</v>
      </c>
      <c r="F44" s="7">
        <f t="shared" si="46"/>
        <v>1080</v>
      </c>
      <c r="G44" s="7">
        <f t="shared" si="4"/>
        <v>2160</v>
      </c>
      <c r="I44" s="106"/>
      <c r="J44" s="107"/>
    </row>
    <row r="45">
      <c r="A45" s="8">
        <f t="shared" si="5"/>
        <v>44</v>
      </c>
      <c r="B45" s="40" t="s">
        <v>425</v>
      </c>
      <c r="C45" s="108">
        <v>22233.0</v>
      </c>
      <c r="D45" s="7">
        <f t="shared" si="2"/>
        <v>13339.8</v>
      </c>
      <c r="E45" s="7">
        <f t="shared" ref="E45:F45" si="47">if($D45&lt;15000,$D45*12/100,15000*12/100)</f>
        <v>1600.776</v>
      </c>
      <c r="F45" s="7">
        <f t="shared" si="47"/>
        <v>1600.776</v>
      </c>
      <c r="G45" s="7">
        <f t="shared" si="4"/>
        <v>3201.552</v>
      </c>
      <c r="I45" s="106"/>
      <c r="J45" s="106"/>
    </row>
    <row r="46">
      <c r="A46" s="8">
        <f t="shared" si="5"/>
        <v>45</v>
      </c>
      <c r="B46" s="40" t="s">
        <v>444</v>
      </c>
      <c r="C46" s="108">
        <v>15867.0</v>
      </c>
      <c r="D46" s="7">
        <f t="shared" si="2"/>
        <v>9520.2</v>
      </c>
      <c r="E46" s="7">
        <f t="shared" ref="E46:F46" si="48">if($D46&lt;15000,$D46*12/100,15000*12/100)</f>
        <v>1142.424</v>
      </c>
      <c r="F46" s="7">
        <f t="shared" si="48"/>
        <v>1142.424</v>
      </c>
      <c r="G46" s="7">
        <f t="shared" si="4"/>
        <v>2284.848</v>
      </c>
      <c r="I46" s="106"/>
      <c r="J46" s="106"/>
    </row>
    <row r="47">
      <c r="A47" s="8">
        <f t="shared" si="5"/>
        <v>46</v>
      </c>
      <c r="B47" s="40" t="s">
        <v>427</v>
      </c>
      <c r="C47" s="108">
        <v>16000.0</v>
      </c>
      <c r="D47" s="7">
        <f t="shared" si="2"/>
        <v>9600</v>
      </c>
      <c r="E47" s="7">
        <f t="shared" ref="E47:F47" si="49">if($D47&lt;15000,$D47*12/100,15000*12/100)</f>
        <v>1152</v>
      </c>
      <c r="F47" s="7">
        <f t="shared" si="49"/>
        <v>1152</v>
      </c>
      <c r="G47" s="7">
        <f t="shared" si="4"/>
        <v>2304</v>
      </c>
      <c r="I47" s="106"/>
      <c r="J47" s="107"/>
    </row>
    <row r="48">
      <c r="A48" s="8">
        <f t="shared" si="5"/>
        <v>47</v>
      </c>
      <c r="B48" s="40" t="s">
        <v>428</v>
      </c>
      <c r="C48" s="108">
        <v>28417.0</v>
      </c>
      <c r="D48" s="7">
        <f t="shared" si="2"/>
        <v>17050.2</v>
      </c>
      <c r="E48" s="7">
        <f t="shared" ref="E48:F48" si="50">if($D48&lt;15000,$D48*12/100,15000*12/100)</f>
        <v>1800</v>
      </c>
      <c r="F48" s="7">
        <f t="shared" si="50"/>
        <v>1800</v>
      </c>
      <c r="G48" s="7">
        <f t="shared" si="4"/>
        <v>3600</v>
      </c>
      <c r="I48" s="106"/>
      <c r="J48" s="106"/>
    </row>
    <row r="49">
      <c r="A49" s="8">
        <f t="shared" si="5"/>
        <v>48</v>
      </c>
      <c r="B49" s="40" t="s">
        <v>429</v>
      </c>
      <c r="C49" s="108">
        <v>70000.0</v>
      </c>
      <c r="D49" s="7">
        <f t="shared" si="2"/>
        <v>42000</v>
      </c>
      <c r="E49" s="7">
        <f t="shared" ref="E49:F49" si="51">if($D49&lt;15000,$D49*12/100,15000*12/100)</f>
        <v>1800</v>
      </c>
      <c r="F49" s="7">
        <f t="shared" si="51"/>
        <v>1800</v>
      </c>
      <c r="G49" s="7">
        <f t="shared" si="4"/>
        <v>3600</v>
      </c>
      <c r="I49" s="106"/>
      <c r="J49" s="107"/>
    </row>
    <row r="50">
      <c r="A50" s="8">
        <f t="shared" si="5"/>
        <v>49</v>
      </c>
      <c r="B50" s="40" t="s">
        <v>430</v>
      </c>
      <c r="C50" s="108">
        <v>17400.0</v>
      </c>
      <c r="D50" s="7">
        <f t="shared" si="2"/>
        <v>10440</v>
      </c>
      <c r="E50" s="7">
        <f t="shared" ref="E50:F50" si="52">if($D50&lt;15000,$D50*12/100,15000*12/100)</f>
        <v>1252.8</v>
      </c>
      <c r="F50" s="7">
        <f t="shared" si="52"/>
        <v>1252.8</v>
      </c>
      <c r="G50" s="7">
        <f t="shared" si="4"/>
        <v>2505.6</v>
      </c>
      <c r="I50" s="106"/>
      <c r="J50" s="106"/>
    </row>
    <row r="51">
      <c r="A51" s="8">
        <f t="shared" si="5"/>
        <v>50</v>
      </c>
      <c r="B51" s="40" t="s">
        <v>431</v>
      </c>
      <c r="C51" s="108">
        <v>7367.0</v>
      </c>
      <c r="D51" s="7">
        <f t="shared" si="2"/>
        <v>4420.2</v>
      </c>
      <c r="E51" s="7">
        <f t="shared" ref="E51:F51" si="53">if($D51&lt;15000,$D51*12/100,15000*12/100)</f>
        <v>530.424</v>
      </c>
      <c r="F51" s="7">
        <f t="shared" si="53"/>
        <v>530.424</v>
      </c>
      <c r="G51" s="7">
        <f t="shared" si="4"/>
        <v>1060.848</v>
      </c>
      <c r="I51" s="106"/>
      <c r="J51" s="106"/>
    </row>
    <row r="52">
      <c r="A52" s="8">
        <f t="shared" si="5"/>
        <v>51</v>
      </c>
      <c r="B52" s="40" t="s">
        <v>432</v>
      </c>
      <c r="C52" s="108">
        <v>18000.0</v>
      </c>
      <c r="D52" s="7">
        <f t="shared" si="2"/>
        <v>10800</v>
      </c>
      <c r="E52" s="7">
        <f t="shared" ref="E52:F52" si="54">if($D52&lt;15000,$D52*12/100,15000*12/100)</f>
        <v>1296</v>
      </c>
      <c r="F52" s="7">
        <f t="shared" si="54"/>
        <v>1296</v>
      </c>
      <c r="G52" s="7">
        <f t="shared" si="4"/>
        <v>2592</v>
      </c>
      <c r="I52" s="106"/>
      <c r="J52" s="107"/>
    </row>
    <row r="53">
      <c r="A53" s="8">
        <f t="shared" si="5"/>
        <v>52</v>
      </c>
      <c r="B53" s="40" t="s">
        <v>433</v>
      </c>
      <c r="C53" s="108">
        <v>15000.0</v>
      </c>
      <c r="D53" s="7">
        <f t="shared" si="2"/>
        <v>9000</v>
      </c>
      <c r="E53" s="7">
        <f t="shared" ref="E53:F53" si="55">if($D53&lt;15000,$D53*12/100,15000*12/100)</f>
        <v>1080</v>
      </c>
      <c r="F53" s="7">
        <f t="shared" si="55"/>
        <v>1080</v>
      </c>
      <c r="G53" s="7">
        <f t="shared" si="4"/>
        <v>2160</v>
      </c>
      <c r="I53" s="106"/>
      <c r="J53" s="107"/>
    </row>
    <row r="54">
      <c r="A54" s="8">
        <f t="shared" si="5"/>
        <v>53</v>
      </c>
      <c r="B54" s="40" t="s">
        <v>445</v>
      </c>
      <c r="C54" s="108">
        <v>17000.0</v>
      </c>
      <c r="D54" s="7">
        <f t="shared" si="2"/>
        <v>10200</v>
      </c>
      <c r="E54" s="7">
        <f t="shared" ref="E54:F54" si="56">if($D54&lt;15000,$D54*12/100,15000*12/100)</f>
        <v>1224</v>
      </c>
      <c r="F54" s="7">
        <f t="shared" si="56"/>
        <v>1224</v>
      </c>
      <c r="G54" s="7">
        <f t="shared" si="4"/>
        <v>2448</v>
      </c>
      <c r="I54" s="106"/>
      <c r="J54" s="107"/>
    </row>
    <row r="55">
      <c r="A55" s="8">
        <f t="shared" si="5"/>
        <v>54</v>
      </c>
      <c r="B55" s="40" t="s">
        <v>446</v>
      </c>
      <c r="C55" s="108">
        <v>17400.0</v>
      </c>
      <c r="D55" s="7">
        <f t="shared" si="2"/>
        <v>10440</v>
      </c>
      <c r="E55" s="7">
        <f t="shared" ref="E55:F55" si="57">if($D55&lt;15000,$D55*12/100,15000*12/100)</f>
        <v>1252.8</v>
      </c>
      <c r="F55" s="7">
        <f t="shared" si="57"/>
        <v>1252.8</v>
      </c>
      <c r="G55" s="7">
        <f t="shared" si="4"/>
        <v>2505.6</v>
      </c>
      <c r="I55" s="106"/>
      <c r="J55" s="106"/>
    </row>
    <row r="56">
      <c r="A56" s="8">
        <f t="shared" si="5"/>
        <v>55</v>
      </c>
      <c r="B56" s="40" t="s">
        <v>447</v>
      </c>
      <c r="C56" s="108">
        <v>9000.0</v>
      </c>
      <c r="D56" s="7">
        <f t="shared" si="2"/>
        <v>5400</v>
      </c>
      <c r="E56" s="7">
        <f t="shared" ref="E56:F56" si="58">if($D56&lt;15000,$D56*12/100,15000*12/100)</f>
        <v>648</v>
      </c>
      <c r="F56" s="7">
        <f t="shared" si="58"/>
        <v>648</v>
      </c>
      <c r="G56" s="7">
        <f t="shared" si="4"/>
        <v>1296</v>
      </c>
      <c r="I56" s="106"/>
      <c r="J56" s="106"/>
    </row>
    <row r="57">
      <c r="A57" s="8">
        <f t="shared" si="5"/>
        <v>56</v>
      </c>
      <c r="B57" s="40" t="s">
        <v>448</v>
      </c>
      <c r="C57" s="108">
        <v>41300.0</v>
      </c>
      <c r="D57" s="7">
        <f t="shared" si="2"/>
        <v>24780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  <c r="I57" s="106"/>
      <c r="J57" s="106"/>
    </row>
    <row r="58">
      <c r="A58" s="8">
        <f t="shared" si="5"/>
        <v>57</v>
      </c>
      <c r="B58" s="40" t="s">
        <v>450</v>
      </c>
      <c r="C58" s="108">
        <v>43000.0</v>
      </c>
      <c r="D58" s="7">
        <f t="shared" si="2"/>
        <v>25800</v>
      </c>
      <c r="E58" s="7">
        <f t="shared" ref="E58:F58" si="60">if($D58&lt;15000,$D58*12/100,15000*12/100)</f>
        <v>1800</v>
      </c>
      <c r="F58" s="7">
        <f t="shared" si="60"/>
        <v>1800</v>
      </c>
      <c r="G58" s="7">
        <f t="shared" si="4"/>
        <v>3600</v>
      </c>
      <c r="I58" s="106"/>
      <c r="J58" s="107"/>
    </row>
    <row r="59">
      <c r="A59" s="8">
        <f t="shared" si="5"/>
        <v>58</v>
      </c>
      <c r="B59" s="40" t="s">
        <v>451</v>
      </c>
      <c r="C59" s="105">
        <v>40000.0</v>
      </c>
      <c r="D59" s="7">
        <f t="shared" si="2"/>
        <v>24000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  <c r="I59" s="106"/>
      <c r="J59" s="107"/>
    </row>
    <row r="60">
      <c r="A60" s="8">
        <f t="shared" si="5"/>
        <v>59</v>
      </c>
      <c r="B60" s="40" t="s">
        <v>452</v>
      </c>
      <c r="C60" s="105">
        <v>15467.0</v>
      </c>
      <c r="D60" s="7">
        <f t="shared" si="2"/>
        <v>9280.2</v>
      </c>
      <c r="E60" s="7">
        <f t="shared" ref="E60:F60" si="62">if($D60&lt;15000,$D60*12/100,15000*12/100)</f>
        <v>1113.624</v>
      </c>
      <c r="F60" s="7">
        <f t="shared" si="62"/>
        <v>1113.624</v>
      </c>
      <c r="G60" s="7">
        <f t="shared" si="4"/>
        <v>2227.248</v>
      </c>
      <c r="I60" s="106"/>
      <c r="J60" s="106"/>
    </row>
    <row r="61">
      <c r="A61" s="8">
        <f t="shared" si="5"/>
        <v>60</v>
      </c>
      <c r="B61" s="40" t="s">
        <v>454</v>
      </c>
      <c r="C61" s="105">
        <v>35767.0</v>
      </c>
      <c r="D61" s="7">
        <f t="shared" si="2"/>
        <v>21460.2</v>
      </c>
      <c r="E61" s="7">
        <f t="shared" ref="E61:F61" si="63">if($D61&lt;15000,$D61*12/100,15000*12/100)</f>
        <v>1800</v>
      </c>
      <c r="F61" s="7">
        <f t="shared" si="63"/>
        <v>1800</v>
      </c>
      <c r="G61" s="7">
        <f t="shared" si="4"/>
        <v>3600</v>
      </c>
      <c r="I61" s="106"/>
      <c r="J61" s="106"/>
    </row>
    <row r="62">
      <c r="A62" s="8">
        <f t="shared" si="5"/>
        <v>61</v>
      </c>
      <c r="B62" s="40" t="s">
        <v>455</v>
      </c>
      <c r="C62" s="105">
        <v>17500.0</v>
      </c>
      <c r="D62" s="7">
        <f t="shared" si="2"/>
        <v>10500</v>
      </c>
      <c r="E62" s="7">
        <f t="shared" ref="E62:F62" si="64">if($D62&lt;15000,$D62*12/100,15000*12/100)</f>
        <v>1260</v>
      </c>
      <c r="F62" s="7">
        <f t="shared" si="64"/>
        <v>1260</v>
      </c>
      <c r="G62" s="7">
        <f t="shared" si="4"/>
        <v>2520</v>
      </c>
      <c r="I62" s="106"/>
      <c r="J62" s="106"/>
    </row>
    <row r="63">
      <c r="A63" s="8">
        <f t="shared" si="5"/>
        <v>62</v>
      </c>
      <c r="B63" s="40" t="s">
        <v>456</v>
      </c>
      <c r="C63" s="105">
        <v>16000.0</v>
      </c>
      <c r="D63" s="7">
        <f t="shared" si="2"/>
        <v>9600</v>
      </c>
      <c r="E63" s="7">
        <f t="shared" ref="E63:F63" si="65">if($D63&lt;15000,$D63*12/100,15000*12/100)</f>
        <v>1152</v>
      </c>
      <c r="F63" s="7">
        <f t="shared" si="65"/>
        <v>1152</v>
      </c>
      <c r="G63" s="7">
        <f t="shared" si="4"/>
        <v>2304</v>
      </c>
      <c r="I63" s="106"/>
      <c r="J63" s="107"/>
    </row>
    <row r="64">
      <c r="A64" s="8">
        <f t="shared" si="5"/>
        <v>63</v>
      </c>
      <c r="B64" s="40" t="s">
        <v>461</v>
      </c>
      <c r="C64" s="105">
        <v>13867.0</v>
      </c>
      <c r="D64" s="7">
        <f t="shared" si="2"/>
        <v>8320.2</v>
      </c>
      <c r="E64" s="7">
        <f t="shared" ref="E64:F64" si="66">if($D64&lt;15000,$D64*12/100,15000*12/100)</f>
        <v>998.424</v>
      </c>
      <c r="F64" s="7">
        <f t="shared" si="66"/>
        <v>998.424</v>
      </c>
      <c r="G64" s="7">
        <f t="shared" si="4"/>
        <v>1996.848</v>
      </c>
      <c r="I64" s="106"/>
      <c r="J64" s="106"/>
    </row>
    <row r="65">
      <c r="A65" s="8">
        <f t="shared" si="5"/>
        <v>64</v>
      </c>
      <c r="B65" s="40" t="s">
        <v>437</v>
      </c>
      <c r="C65" s="105">
        <v>25000.0</v>
      </c>
      <c r="D65" s="7">
        <f t="shared" si="2"/>
        <v>15000</v>
      </c>
      <c r="E65" s="7">
        <f t="shared" ref="E65:F65" si="67">if($D65&lt;15000,$D65*12/100,15000*12/100)</f>
        <v>1800</v>
      </c>
      <c r="F65" s="7">
        <f t="shared" si="67"/>
        <v>1800</v>
      </c>
      <c r="G65" s="7">
        <f t="shared" si="4"/>
        <v>3600</v>
      </c>
      <c r="I65" s="106"/>
      <c r="J65" s="107"/>
    </row>
    <row r="66">
      <c r="A66" s="8">
        <f t="shared" si="5"/>
        <v>65</v>
      </c>
      <c r="B66" s="40" t="s">
        <v>463</v>
      </c>
      <c r="C66" s="105">
        <v>15467.0</v>
      </c>
      <c r="D66" s="7">
        <f t="shared" si="2"/>
        <v>9280.2</v>
      </c>
      <c r="E66" s="7">
        <f t="shared" ref="E66:F66" si="68">if($D66&lt;15000,$D66*12/100,15000*12/100)</f>
        <v>1113.624</v>
      </c>
      <c r="F66" s="7">
        <f t="shared" si="68"/>
        <v>1113.624</v>
      </c>
      <c r="G66" s="7">
        <f t="shared" si="4"/>
        <v>2227.248</v>
      </c>
      <c r="I66" s="106"/>
      <c r="J66" s="106"/>
    </row>
    <row r="67">
      <c r="A67" s="8">
        <f t="shared" si="5"/>
        <v>66</v>
      </c>
      <c r="B67" s="87" t="s">
        <v>469</v>
      </c>
      <c r="C67" s="105">
        <v>17000.0</v>
      </c>
      <c r="D67" s="7">
        <f t="shared" si="2"/>
        <v>10200</v>
      </c>
      <c r="E67" s="7">
        <f t="shared" ref="E67:F67" si="69">if($D67&lt;15000,$D67*12/100,15000*12/100)</f>
        <v>1224</v>
      </c>
      <c r="F67" s="7">
        <f t="shared" si="69"/>
        <v>1224</v>
      </c>
      <c r="G67" s="7">
        <f t="shared" si="4"/>
        <v>2448</v>
      </c>
      <c r="I67" s="106"/>
      <c r="J67" s="107"/>
    </row>
    <row r="68">
      <c r="A68" s="8">
        <f t="shared" si="5"/>
        <v>67</v>
      </c>
      <c r="B68" s="40" t="s">
        <v>470</v>
      </c>
      <c r="C68" s="105">
        <v>12000.0</v>
      </c>
      <c r="D68" s="7">
        <f t="shared" si="2"/>
        <v>7200</v>
      </c>
      <c r="E68" s="7">
        <f t="shared" ref="E68:F68" si="70">if($D68&lt;15000,$D68*12/100,15000*12/100)</f>
        <v>864</v>
      </c>
      <c r="F68" s="7">
        <f t="shared" si="70"/>
        <v>864</v>
      </c>
      <c r="G68" s="7">
        <f t="shared" si="4"/>
        <v>1728</v>
      </c>
      <c r="I68" s="106"/>
      <c r="J68" s="107"/>
    </row>
    <row r="69">
      <c r="A69" s="8">
        <f t="shared" si="5"/>
        <v>68</v>
      </c>
      <c r="B69" s="40" t="s">
        <v>471</v>
      </c>
      <c r="C69" s="105">
        <v>14000.0</v>
      </c>
      <c r="D69" s="7">
        <f t="shared" si="2"/>
        <v>8400</v>
      </c>
      <c r="E69" s="7">
        <f t="shared" ref="E69:F69" si="71">if($D69&lt;15000,$D69*12/100,15000*12/100)</f>
        <v>1008</v>
      </c>
      <c r="F69" s="7">
        <f t="shared" si="71"/>
        <v>1008</v>
      </c>
      <c r="G69" s="7">
        <f t="shared" si="4"/>
        <v>2016</v>
      </c>
      <c r="I69" s="106"/>
      <c r="J69" s="107"/>
    </row>
    <row r="70">
      <c r="A70" s="8">
        <f t="shared" si="5"/>
        <v>69</v>
      </c>
      <c r="B70" s="40" t="s">
        <v>477</v>
      </c>
      <c r="C70" s="105">
        <v>10833.0</v>
      </c>
      <c r="D70" s="7">
        <f t="shared" si="2"/>
        <v>6499.8</v>
      </c>
      <c r="E70" s="7">
        <f t="shared" ref="E70:F70" si="72">if($D70&lt;15000,$D70*12/100,15000*12/100)</f>
        <v>779.976</v>
      </c>
      <c r="F70" s="7">
        <f t="shared" si="72"/>
        <v>779.976</v>
      </c>
      <c r="G70" s="7">
        <f t="shared" si="4"/>
        <v>1559.952</v>
      </c>
      <c r="I70" s="106"/>
      <c r="J70" s="106"/>
    </row>
    <row r="71">
      <c r="A71" s="8">
        <f t="shared" si="5"/>
        <v>70</v>
      </c>
      <c r="B71" s="40" t="s">
        <v>478</v>
      </c>
      <c r="C71" s="105">
        <v>9000.0</v>
      </c>
      <c r="D71" s="7">
        <f t="shared" si="2"/>
        <v>5400</v>
      </c>
      <c r="E71" s="7">
        <f t="shared" ref="E71:F71" si="73">if($D71&lt;15000,$D71*12/100,15000*12/100)</f>
        <v>648</v>
      </c>
      <c r="F71" s="7">
        <f t="shared" si="73"/>
        <v>648</v>
      </c>
      <c r="G71" s="7">
        <f t="shared" si="4"/>
        <v>1296</v>
      </c>
      <c r="I71" s="106"/>
      <c r="J71" s="107"/>
    </row>
    <row r="72">
      <c r="A72" s="8">
        <f t="shared" si="5"/>
        <v>71</v>
      </c>
      <c r="B72" s="40" t="s">
        <v>283</v>
      </c>
      <c r="C72" s="105">
        <v>10000.0</v>
      </c>
      <c r="D72" s="7">
        <f t="shared" si="2"/>
        <v>6000</v>
      </c>
      <c r="E72" s="7">
        <f t="shared" ref="E72:F72" si="74">if($D72&lt;15000,$D72*12/100,15000*12/100)</f>
        <v>720</v>
      </c>
      <c r="F72" s="7">
        <f t="shared" si="74"/>
        <v>720</v>
      </c>
      <c r="G72" s="7">
        <f t="shared" si="4"/>
        <v>1440</v>
      </c>
      <c r="I72" s="106"/>
      <c r="J72" s="107"/>
    </row>
    <row r="73">
      <c r="A73" s="8">
        <f t="shared" si="5"/>
        <v>72</v>
      </c>
      <c r="B73" s="40" t="s">
        <v>479</v>
      </c>
      <c r="C73" s="105">
        <v>4000.0</v>
      </c>
      <c r="D73" s="7">
        <f t="shared" si="2"/>
        <v>2400</v>
      </c>
      <c r="E73" s="7">
        <f t="shared" ref="E73:F73" si="75">if($D73&lt;15000,$D73*12/100,15000*12/100)</f>
        <v>288</v>
      </c>
      <c r="F73" s="7">
        <f t="shared" si="75"/>
        <v>288</v>
      </c>
      <c r="G73" s="7">
        <f t="shared" si="4"/>
        <v>576</v>
      </c>
      <c r="I73" s="106"/>
      <c r="J73" s="106"/>
    </row>
    <row r="74">
      <c r="A74" s="8">
        <f t="shared" si="5"/>
        <v>73</v>
      </c>
      <c r="B74" s="40" t="s">
        <v>285</v>
      </c>
      <c r="C74" s="105">
        <v>9000.0</v>
      </c>
      <c r="D74" s="7">
        <f t="shared" si="2"/>
        <v>5400</v>
      </c>
      <c r="E74" s="7">
        <f t="shared" ref="E74:F74" si="76">if($D74&lt;15000,$D74*12/100,15000*12/100)</f>
        <v>648</v>
      </c>
      <c r="F74" s="7">
        <f t="shared" si="76"/>
        <v>648</v>
      </c>
      <c r="G74" s="7">
        <f t="shared" si="4"/>
        <v>1296</v>
      </c>
      <c r="I74" s="106"/>
      <c r="J74" s="107"/>
    </row>
    <row r="75">
      <c r="A75" s="8">
        <f t="shared" si="5"/>
        <v>74</v>
      </c>
      <c r="B75" s="40" t="s">
        <v>457</v>
      </c>
      <c r="C75" s="105">
        <v>8000.0</v>
      </c>
      <c r="D75" s="7">
        <f t="shared" si="2"/>
        <v>4800</v>
      </c>
      <c r="E75" s="7">
        <f t="shared" ref="E75:F75" si="77">if($D75&lt;15000,$D75*12/100,15000*12/100)</f>
        <v>576</v>
      </c>
      <c r="F75" s="7">
        <f t="shared" si="77"/>
        <v>576</v>
      </c>
      <c r="G75" s="7">
        <f t="shared" si="4"/>
        <v>1152</v>
      </c>
      <c r="I75" s="106"/>
      <c r="J75" s="107"/>
    </row>
    <row r="76">
      <c r="A76" s="8">
        <f t="shared" si="5"/>
        <v>75</v>
      </c>
      <c r="B76" s="40" t="s">
        <v>384</v>
      </c>
      <c r="C76" s="105">
        <v>30000.0</v>
      </c>
      <c r="D76" s="7">
        <f t="shared" si="2"/>
        <v>18000</v>
      </c>
      <c r="E76" s="7">
        <f t="shared" ref="E76:F76" si="78">if($D76&lt;15000,$D76*12/100,15000*12/100)</f>
        <v>1800</v>
      </c>
      <c r="F76" s="7">
        <f t="shared" si="78"/>
        <v>1800</v>
      </c>
      <c r="G76" s="7">
        <f t="shared" si="4"/>
        <v>3600</v>
      </c>
      <c r="I76" s="106"/>
      <c r="J76" s="107"/>
    </row>
    <row r="77">
      <c r="A77" s="8">
        <f t="shared" si="5"/>
        <v>76</v>
      </c>
      <c r="B77" s="40" t="s">
        <v>472</v>
      </c>
      <c r="C77" s="105">
        <v>22917.0</v>
      </c>
      <c r="D77" s="7">
        <f t="shared" si="2"/>
        <v>13750.2</v>
      </c>
      <c r="E77" s="7">
        <f t="shared" ref="E77:F77" si="79">if($D77&lt;15000,$D77*12/100,15000*12/100)</f>
        <v>1650.024</v>
      </c>
      <c r="F77" s="7">
        <f t="shared" si="79"/>
        <v>1650.024</v>
      </c>
      <c r="G77" s="7">
        <f t="shared" si="4"/>
        <v>3300.048</v>
      </c>
      <c r="I77" s="106"/>
      <c r="J77" s="106"/>
    </row>
    <row r="78">
      <c r="A78" s="8">
        <f t="shared" si="5"/>
        <v>77</v>
      </c>
      <c r="B78" s="40" t="s">
        <v>473</v>
      </c>
      <c r="C78" s="105">
        <v>17000.0</v>
      </c>
      <c r="D78" s="7">
        <f t="shared" si="2"/>
        <v>10200</v>
      </c>
      <c r="E78" s="7">
        <f t="shared" ref="E78:F78" si="80">if($D78&lt;15000,$D78*12/100,15000*12/100)</f>
        <v>1224</v>
      </c>
      <c r="F78" s="7">
        <f t="shared" si="80"/>
        <v>1224</v>
      </c>
      <c r="G78" s="7">
        <f t="shared" si="4"/>
        <v>2448</v>
      </c>
      <c r="I78" s="106"/>
      <c r="J78" s="107"/>
    </row>
    <row r="79">
      <c r="A79" s="8">
        <f t="shared" si="5"/>
        <v>78</v>
      </c>
      <c r="B79" s="40" t="s">
        <v>263</v>
      </c>
      <c r="C79" s="105">
        <v>18000.0</v>
      </c>
      <c r="D79" s="7">
        <f t="shared" si="2"/>
        <v>10800</v>
      </c>
      <c r="E79" s="7">
        <f t="shared" ref="E79:F79" si="81">if($D79&lt;15000,$D79*12/100,15000*12/100)</f>
        <v>1296</v>
      </c>
      <c r="F79" s="7">
        <f t="shared" si="81"/>
        <v>1296</v>
      </c>
      <c r="G79" s="7">
        <f t="shared" si="4"/>
        <v>2592</v>
      </c>
      <c r="I79" s="106"/>
      <c r="J79" s="107"/>
    </row>
    <row r="80">
      <c r="A80" s="8">
        <f t="shared" si="5"/>
        <v>79</v>
      </c>
      <c r="B80" s="40" t="s">
        <v>389</v>
      </c>
      <c r="C80" s="105">
        <v>20000.0</v>
      </c>
      <c r="D80" s="7">
        <f t="shared" si="2"/>
        <v>12000</v>
      </c>
      <c r="E80" s="7">
        <f t="shared" ref="E80:F80" si="82">if($D80&lt;15000,$D80*12/100,15000*12/100)</f>
        <v>1440</v>
      </c>
      <c r="F80" s="7">
        <f t="shared" si="82"/>
        <v>1440</v>
      </c>
      <c r="G80" s="7">
        <f t="shared" si="4"/>
        <v>2880</v>
      </c>
      <c r="I80" s="106"/>
      <c r="J80" s="107"/>
    </row>
    <row r="81">
      <c r="A81" s="8">
        <f t="shared" si="5"/>
        <v>80</v>
      </c>
      <c r="B81" s="40" t="s">
        <v>465</v>
      </c>
      <c r="C81" s="105">
        <v>25000.0</v>
      </c>
      <c r="D81" s="7">
        <f t="shared" si="2"/>
        <v>15000</v>
      </c>
      <c r="E81" s="7">
        <f t="shared" ref="E81:F81" si="83">if($D81&lt;15000,$D81*12/100,15000*12/100)</f>
        <v>1800</v>
      </c>
      <c r="F81" s="7">
        <f t="shared" si="83"/>
        <v>1800</v>
      </c>
      <c r="G81" s="7">
        <f t="shared" si="4"/>
        <v>3600</v>
      </c>
      <c r="I81" s="106"/>
      <c r="J81" s="107"/>
    </row>
    <row r="82">
      <c r="A82" s="8">
        <f t="shared" si="5"/>
        <v>81</v>
      </c>
      <c r="B82" s="40" t="s">
        <v>438</v>
      </c>
      <c r="C82" s="105">
        <v>18367.0</v>
      </c>
      <c r="D82" s="7">
        <f t="shared" si="2"/>
        <v>11020.2</v>
      </c>
      <c r="E82" s="7">
        <f t="shared" ref="E82:F82" si="84">if($D82&lt;15000,$D82*12/100,15000*12/100)</f>
        <v>1322.424</v>
      </c>
      <c r="F82" s="7">
        <f t="shared" si="84"/>
        <v>1322.424</v>
      </c>
      <c r="G82" s="7">
        <f t="shared" si="4"/>
        <v>2644.848</v>
      </c>
      <c r="I82" s="106"/>
      <c r="J82" s="106"/>
    </row>
    <row r="83">
      <c r="A83" s="8">
        <f t="shared" si="5"/>
        <v>82</v>
      </c>
      <c r="B83" s="40" t="s">
        <v>439</v>
      </c>
      <c r="C83" s="105">
        <v>20833.0</v>
      </c>
      <c r="D83" s="7">
        <f t="shared" si="2"/>
        <v>12499.8</v>
      </c>
      <c r="E83" s="7">
        <f t="shared" ref="E83:F83" si="85">if($D83&lt;15000,$D83*12/100,15000*12/100)</f>
        <v>1499.976</v>
      </c>
      <c r="F83" s="7">
        <f t="shared" si="85"/>
        <v>1499.976</v>
      </c>
      <c r="G83" s="7">
        <f t="shared" si="4"/>
        <v>2999.952</v>
      </c>
      <c r="I83" s="106"/>
      <c r="J83" s="106"/>
    </row>
    <row r="84">
      <c r="A84" s="8">
        <f t="shared" si="5"/>
        <v>83</v>
      </c>
      <c r="B84" s="40" t="s">
        <v>466</v>
      </c>
      <c r="C84" s="105">
        <v>23600.0</v>
      </c>
      <c r="D84" s="7">
        <f t="shared" si="2"/>
        <v>14160</v>
      </c>
      <c r="E84" s="7">
        <f t="shared" ref="E84:F84" si="86">if($D84&lt;15000,$D84*12/100,15000*12/100)</f>
        <v>1699.2</v>
      </c>
      <c r="F84" s="7">
        <f t="shared" si="86"/>
        <v>1699.2</v>
      </c>
      <c r="G84" s="7">
        <f t="shared" si="4"/>
        <v>3398.4</v>
      </c>
      <c r="I84" s="106"/>
      <c r="J84" s="106"/>
    </row>
    <row r="85">
      <c r="A85" s="8">
        <f t="shared" si="5"/>
        <v>84</v>
      </c>
      <c r="B85" s="30" t="s">
        <v>440</v>
      </c>
      <c r="C85" s="105">
        <v>25000.0</v>
      </c>
      <c r="D85" s="7">
        <f t="shared" si="2"/>
        <v>15000</v>
      </c>
      <c r="E85" s="7">
        <f t="shared" ref="E85:F85" si="87">if($D85&lt;15000,$D85*12/100,15000*12/100)</f>
        <v>1800</v>
      </c>
      <c r="F85" s="7">
        <f t="shared" si="87"/>
        <v>1800</v>
      </c>
      <c r="G85" s="7">
        <f t="shared" si="4"/>
        <v>3600</v>
      </c>
      <c r="I85" s="106"/>
      <c r="J85" s="107"/>
    </row>
    <row r="86">
      <c r="A86" s="8">
        <f t="shared" si="5"/>
        <v>85</v>
      </c>
      <c r="B86" s="30" t="s">
        <v>441</v>
      </c>
      <c r="C86" s="105">
        <v>20833.0</v>
      </c>
      <c r="D86" s="7">
        <f t="shared" si="2"/>
        <v>12499.8</v>
      </c>
      <c r="E86" s="7">
        <f t="shared" ref="E86:F86" si="88">if($D86&lt;15000,$D86*12/100,15000*12/100)</f>
        <v>1499.976</v>
      </c>
      <c r="F86" s="7">
        <f t="shared" si="88"/>
        <v>1499.976</v>
      </c>
      <c r="G86" s="7">
        <f t="shared" si="4"/>
        <v>2999.952</v>
      </c>
      <c r="I86" s="106"/>
      <c r="J86" s="106"/>
    </row>
    <row r="87">
      <c r="A87" s="8">
        <f t="shared" si="5"/>
        <v>86</v>
      </c>
      <c r="B87" s="40" t="s">
        <v>467</v>
      </c>
      <c r="C87" s="105">
        <v>18000.0</v>
      </c>
      <c r="D87" s="7">
        <f t="shared" si="2"/>
        <v>10800</v>
      </c>
      <c r="E87" s="7">
        <f t="shared" ref="E87:F87" si="89">if($D87&lt;15000,$D87*12/100,15000*12/100)</f>
        <v>1296</v>
      </c>
      <c r="F87" s="7">
        <f t="shared" si="89"/>
        <v>1296</v>
      </c>
      <c r="G87" s="7">
        <f t="shared" si="4"/>
        <v>2592</v>
      </c>
      <c r="I87" s="106"/>
      <c r="J87" s="107"/>
    </row>
    <row r="88">
      <c r="A88" s="8">
        <f t="shared" si="5"/>
        <v>87</v>
      </c>
      <c r="B88" s="40" t="s">
        <v>474</v>
      </c>
      <c r="C88" s="105">
        <v>17700.0</v>
      </c>
      <c r="D88" s="7">
        <f t="shared" si="2"/>
        <v>10620</v>
      </c>
      <c r="E88" s="7">
        <f t="shared" ref="E88:F88" si="90">if($D88&lt;15000,$D88*12/100,15000*12/100)</f>
        <v>1274.4</v>
      </c>
      <c r="F88" s="7">
        <f t="shared" si="90"/>
        <v>1274.4</v>
      </c>
      <c r="G88" s="7">
        <f t="shared" si="4"/>
        <v>2548.8</v>
      </c>
      <c r="I88" s="106"/>
      <c r="J88" s="106"/>
    </row>
    <row r="89">
      <c r="A89" s="8">
        <f t="shared" si="5"/>
        <v>88</v>
      </c>
      <c r="B89" s="40" t="s">
        <v>475</v>
      </c>
      <c r="C89" s="105">
        <v>25200.0</v>
      </c>
      <c r="D89" s="7">
        <f t="shared" si="2"/>
        <v>15120</v>
      </c>
      <c r="E89" s="7">
        <f t="shared" ref="E89:F89" si="91">if($D89&lt;15000,$D89*12/100,15000*12/100)</f>
        <v>1800</v>
      </c>
      <c r="F89" s="7">
        <f t="shared" si="91"/>
        <v>1800</v>
      </c>
      <c r="G89" s="7">
        <f t="shared" si="4"/>
        <v>3600</v>
      </c>
      <c r="I89" s="106"/>
      <c r="J89" s="106"/>
    </row>
    <row r="90">
      <c r="A90" s="8">
        <f t="shared" si="5"/>
        <v>89</v>
      </c>
      <c r="B90" s="40" t="s">
        <v>480</v>
      </c>
      <c r="C90" s="105">
        <v>24000.0</v>
      </c>
      <c r="D90" s="7">
        <f t="shared" si="2"/>
        <v>14400</v>
      </c>
      <c r="E90" s="7">
        <f t="shared" ref="E90:F90" si="92">if($D90&lt;15000,$D90*12/100,15000*12/100)</f>
        <v>1728</v>
      </c>
      <c r="F90" s="7">
        <f t="shared" si="92"/>
        <v>1728</v>
      </c>
      <c r="G90" s="7">
        <f t="shared" si="4"/>
        <v>3456</v>
      </c>
      <c r="I90" s="106"/>
      <c r="J90" s="106"/>
    </row>
    <row r="91">
      <c r="A91" s="8">
        <f t="shared" si="5"/>
        <v>90</v>
      </c>
      <c r="B91" s="40" t="s">
        <v>481</v>
      </c>
      <c r="C91" s="105">
        <v>9600.0</v>
      </c>
      <c r="D91" s="7">
        <f t="shared" si="2"/>
        <v>5760</v>
      </c>
      <c r="E91" s="7">
        <f t="shared" ref="E91:F91" si="93">if($D91&lt;15000,$D91*12/100,15000*12/100)</f>
        <v>691.2</v>
      </c>
      <c r="F91" s="7">
        <f t="shared" si="93"/>
        <v>691.2</v>
      </c>
      <c r="G91" s="7">
        <f t="shared" si="4"/>
        <v>1382.4</v>
      </c>
      <c r="I91" s="106"/>
      <c r="J91" s="106"/>
    </row>
    <row r="92">
      <c r="A92" s="9" t="s">
        <v>34</v>
      </c>
      <c r="B92" s="10"/>
      <c r="C92" s="11">
        <f t="shared" ref="C92:G92" si="94">sum(C2:C91)</f>
        <v>2080226</v>
      </c>
      <c r="D92" s="11">
        <f t="shared" si="94"/>
        <v>1248135.6</v>
      </c>
      <c r="E92" s="11">
        <f t="shared" si="94"/>
        <v>128287.224</v>
      </c>
      <c r="F92" s="11">
        <f t="shared" si="94"/>
        <v>128287.224</v>
      </c>
      <c r="G92" s="11">
        <f t="shared" si="94"/>
        <v>256574.448</v>
      </c>
    </row>
  </sheetData>
  <mergeCells count="1">
    <mergeCell ref="A92:B92"/>
  </mergeCells>
  <hyperlinks>
    <hyperlink r:id="rId1" ref="A1"/>
  </hyperlin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f>1</f>
        <v>1</v>
      </c>
      <c r="B2" s="46" t="s">
        <v>476</v>
      </c>
      <c r="C2" s="105">
        <v>81000.0</v>
      </c>
      <c r="D2" s="7">
        <f t="shared" ref="D2:D92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2" si="4">E2+F2</f>
        <v>3600</v>
      </c>
      <c r="I2" s="106"/>
      <c r="J2" s="107"/>
    </row>
    <row r="3">
      <c r="A3" s="8">
        <f t="shared" ref="A3:A92" si="5">A2+1</f>
        <v>2</v>
      </c>
      <c r="B3" s="46" t="s">
        <v>195</v>
      </c>
      <c r="C3" s="105">
        <v>58048.0</v>
      </c>
      <c r="D3" s="7">
        <f t="shared" si="2"/>
        <v>34828.8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I3" s="106"/>
      <c r="J3" s="106"/>
    </row>
    <row r="4">
      <c r="A4" s="8">
        <f t="shared" si="5"/>
        <v>3</v>
      </c>
      <c r="B4" s="46" t="s">
        <v>480</v>
      </c>
      <c r="C4" s="105">
        <v>40000.0</v>
      </c>
      <c r="D4" s="7">
        <f t="shared" si="2"/>
        <v>24000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  <c r="I4" s="106"/>
      <c r="J4" s="107"/>
    </row>
    <row r="5">
      <c r="A5" s="8">
        <f t="shared" si="5"/>
        <v>4</v>
      </c>
      <c r="B5" s="46" t="s">
        <v>203</v>
      </c>
      <c r="C5" s="105">
        <v>43000.0</v>
      </c>
      <c r="D5" s="7">
        <f t="shared" si="2"/>
        <v>25800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I5" s="106"/>
      <c r="J5" s="107"/>
    </row>
    <row r="6">
      <c r="A6" s="8">
        <f t="shared" si="5"/>
        <v>5</v>
      </c>
      <c r="B6" s="46" t="s">
        <v>200</v>
      </c>
      <c r="C6" s="105">
        <v>40000.0</v>
      </c>
      <c r="D6" s="7">
        <f t="shared" si="2"/>
        <v>24000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I6" s="106"/>
      <c r="J6" s="107"/>
    </row>
    <row r="7">
      <c r="A7" s="8">
        <f t="shared" si="5"/>
        <v>6</v>
      </c>
      <c r="B7" s="46" t="s">
        <v>382</v>
      </c>
      <c r="C7" s="105">
        <v>17339.0</v>
      </c>
      <c r="D7" s="7">
        <f t="shared" si="2"/>
        <v>10403.4</v>
      </c>
      <c r="E7" s="7">
        <f t="shared" ref="E7:F7" si="9">if($D7&lt;15000,$D7*12/100,15000*12/100)</f>
        <v>1248.408</v>
      </c>
      <c r="F7" s="7">
        <f t="shared" si="9"/>
        <v>1248.408</v>
      </c>
      <c r="G7" s="7">
        <f t="shared" si="4"/>
        <v>2496.816</v>
      </c>
      <c r="I7" s="106"/>
      <c r="J7" s="106"/>
    </row>
    <row r="8">
      <c r="A8" s="8">
        <f t="shared" si="5"/>
        <v>7</v>
      </c>
      <c r="B8" s="46" t="s">
        <v>231</v>
      </c>
      <c r="C8" s="105">
        <v>29000.0</v>
      </c>
      <c r="D8" s="7">
        <f t="shared" si="2"/>
        <v>17400</v>
      </c>
      <c r="E8" s="7">
        <f t="shared" ref="E8:F8" si="10">if($D8&lt;15000,$D8*12/100,15000*12/100)</f>
        <v>1800</v>
      </c>
      <c r="F8" s="7">
        <f t="shared" si="10"/>
        <v>1800</v>
      </c>
      <c r="G8" s="7">
        <f t="shared" si="4"/>
        <v>3600</v>
      </c>
      <c r="I8" s="106"/>
      <c r="J8" s="107"/>
    </row>
    <row r="9">
      <c r="A9" s="8">
        <f t="shared" si="5"/>
        <v>8</v>
      </c>
      <c r="B9" s="46" t="s">
        <v>236</v>
      </c>
      <c r="C9" s="105">
        <v>24000.0</v>
      </c>
      <c r="D9" s="7">
        <f t="shared" si="2"/>
        <v>14400</v>
      </c>
      <c r="E9" s="7">
        <f t="shared" ref="E9:F9" si="11">if($D9&lt;15000,$D9*12/100,15000*12/100)</f>
        <v>1728</v>
      </c>
      <c r="F9" s="7">
        <f t="shared" si="11"/>
        <v>1728</v>
      </c>
      <c r="G9" s="7">
        <f t="shared" si="4"/>
        <v>3456</v>
      </c>
      <c r="I9" s="106"/>
      <c r="J9" s="107"/>
    </row>
    <row r="10">
      <c r="A10" s="8">
        <f t="shared" si="5"/>
        <v>9</v>
      </c>
      <c r="B10" s="46" t="s">
        <v>221</v>
      </c>
      <c r="C10" s="105">
        <v>27000.0</v>
      </c>
      <c r="D10" s="7">
        <f t="shared" si="2"/>
        <v>16200</v>
      </c>
      <c r="E10" s="7">
        <f t="shared" ref="E10:F10" si="12">if($D10&lt;15000,$D10*12/100,15000*12/100)</f>
        <v>1800</v>
      </c>
      <c r="F10" s="7">
        <f t="shared" si="12"/>
        <v>1800</v>
      </c>
      <c r="G10" s="7">
        <f t="shared" si="4"/>
        <v>3600</v>
      </c>
      <c r="I10" s="106"/>
      <c r="J10" s="107"/>
    </row>
    <row r="11">
      <c r="A11" s="8">
        <f t="shared" si="5"/>
        <v>10</v>
      </c>
      <c r="B11" s="46" t="s">
        <v>201</v>
      </c>
      <c r="C11" s="105">
        <v>30000.0</v>
      </c>
      <c r="D11" s="7">
        <f t="shared" si="2"/>
        <v>18000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  <c r="I11" s="106"/>
      <c r="J11" s="107"/>
    </row>
    <row r="12">
      <c r="A12" s="8">
        <f t="shared" si="5"/>
        <v>11</v>
      </c>
      <c r="B12" s="46" t="s">
        <v>213</v>
      </c>
      <c r="C12" s="105">
        <v>25161.0</v>
      </c>
      <c r="D12" s="7">
        <f t="shared" si="2"/>
        <v>15096.6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  <c r="I12" s="106"/>
      <c r="J12" s="106"/>
    </row>
    <row r="13">
      <c r="A13" s="8">
        <f t="shared" si="5"/>
        <v>12</v>
      </c>
      <c r="B13" s="46" t="s">
        <v>208</v>
      </c>
      <c r="C13" s="105">
        <v>30871.0</v>
      </c>
      <c r="D13" s="7">
        <f t="shared" si="2"/>
        <v>18522.6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I13" s="106"/>
      <c r="J13" s="106"/>
    </row>
    <row r="14">
      <c r="A14" s="8">
        <f t="shared" si="5"/>
        <v>13</v>
      </c>
      <c r="B14" s="26" t="s">
        <v>248</v>
      </c>
      <c r="C14" s="105">
        <v>32000.0</v>
      </c>
      <c r="D14" s="7">
        <f t="shared" si="2"/>
        <v>19200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I14" s="106"/>
      <c r="J14" s="107"/>
    </row>
    <row r="15">
      <c r="A15" s="8">
        <f t="shared" si="5"/>
        <v>14</v>
      </c>
      <c r="B15" s="46" t="s">
        <v>202</v>
      </c>
      <c r="C15" s="105">
        <v>29000.0</v>
      </c>
      <c r="D15" s="7">
        <f t="shared" si="2"/>
        <v>17400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I15" s="106"/>
      <c r="J15" s="107"/>
    </row>
    <row r="16">
      <c r="A16" s="8">
        <f t="shared" si="5"/>
        <v>15</v>
      </c>
      <c r="B16" s="46" t="s">
        <v>209</v>
      </c>
      <c r="C16" s="105">
        <v>32000.0</v>
      </c>
      <c r="D16" s="7">
        <f t="shared" si="2"/>
        <v>19200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I16" s="106"/>
      <c r="J16" s="107"/>
    </row>
    <row r="17">
      <c r="A17" s="8">
        <f t="shared" si="5"/>
        <v>16</v>
      </c>
      <c r="B17" s="46" t="s">
        <v>214</v>
      </c>
      <c r="C17" s="105">
        <v>28000.0</v>
      </c>
      <c r="D17" s="7">
        <f t="shared" si="2"/>
        <v>16800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I17" s="106"/>
      <c r="J17" s="107"/>
    </row>
    <row r="18">
      <c r="A18" s="8">
        <f t="shared" si="5"/>
        <v>17</v>
      </c>
      <c r="B18" s="46" t="s">
        <v>206</v>
      </c>
      <c r="C18" s="105">
        <v>28000.0</v>
      </c>
      <c r="D18" s="7">
        <f t="shared" si="2"/>
        <v>16800</v>
      </c>
      <c r="E18" s="7">
        <f t="shared" ref="E18:F18" si="20">if($D18&lt;15000,$D18*12/100,15000*12/100)</f>
        <v>1800</v>
      </c>
      <c r="F18" s="7">
        <f t="shared" si="20"/>
        <v>1800</v>
      </c>
      <c r="G18" s="7">
        <f t="shared" si="4"/>
        <v>3600</v>
      </c>
      <c r="I18" s="106"/>
      <c r="J18" s="107"/>
    </row>
    <row r="19">
      <c r="A19" s="8">
        <f t="shared" si="5"/>
        <v>18</v>
      </c>
      <c r="B19" s="46" t="s">
        <v>414</v>
      </c>
      <c r="C19" s="105">
        <v>23000.0</v>
      </c>
      <c r="D19" s="7">
        <f t="shared" si="2"/>
        <v>13800</v>
      </c>
      <c r="E19" s="7">
        <f t="shared" ref="E19:F19" si="21">if($D19&lt;15000,$D19*12/100,15000*12/100)</f>
        <v>1656</v>
      </c>
      <c r="F19" s="7">
        <f t="shared" si="21"/>
        <v>1656</v>
      </c>
      <c r="G19" s="7">
        <f t="shared" si="4"/>
        <v>3312</v>
      </c>
      <c r="I19" s="106"/>
      <c r="J19" s="107"/>
    </row>
    <row r="20">
      <c r="A20" s="8">
        <f t="shared" si="5"/>
        <v>19</v>
      </c>
      <c r="B20" s="46" t="s">
        <v>210</v>
      </c>
      <c r="C20" s="105">
        <v>33000.0</v>
      </c>
      <c r="D20" s="7">
        <f t="shared" si="2"/>
        <v>19800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  <c r="I20" s="106"/>
      <c r="J20" s="107"/>
    </row>
    <row r="21">
      <c r="A21" s="8">
        <f t="shared" si="5"/>
        <v>20</v>
      </c>
      <c r="B21" s="46" t="s">
        <v>442</v>
      </c>
      <c r="C21" s="105">
        <v>32500.0</v>
      </c>
      <c r="D21" s="7">
        <f t="shared" si="2"/>
        <v>19500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I21" s="106"/>
      <c r="J21" s="107"/>
    </row>
    <row r="22">
      <c r="A22" s="8">
        <f t="shared" si="5"/>
        <v>21</v>
      </c>
      <c r="B22" s="46" t="s">
        <v>212</v>
      </c>
      <c r="C22" s="105">
        <v>28500.0</v>
      </c>
      <c r="D22" s="7">
        <f t="shared" si="2"/>
        <v>17100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  <c r="I22" s="106"/>
      <c r="J22" s="107"/>
    </row>
    <row r="23">
      <c r="A23" s="8">
        <f t="shared" si="5"/>
        <v>22</v>
      </c>
      <c r="B23" s="46" t="s">
        <v>252</v>
      </c>
      <c r="C23" s="105">
        <v>23000.0</v>
      </c>
      <c r="D23" s="7">
        <f t="shared" si="2"/>
        <v>13800</v>
      </c>
      <c r="E23" s="7">
        <f t="shared" ref="E23:F23" si="25">if($D23&lt;15000,$D23*12/100,15000*12/100)</f>
        <v>1656</v>
      </c>
      <c r="F23" s="7">
        <f t="shared" si="25"/>
        <v>1656</v>
      </c>
      <c r="G23" s="7">
        <f t="shared" si="4"/>
        <v>3312</v>
      </c>
      <c r="I23" s="106"/>
      <c r="J23" s="107"/>
    </row>
    <row r="24">
      <c r="A24" s="8">
        <f t="shared" si="5"/>
        <v>23</v>
      </c>
      <c r="B24" s="46" t="s">
        <v>249</v>
      </c>
      <c r="C24" s="105">
        <v>17419.0</v>
      </c>
      <c r="D24" s="7">
        <f t="shared" si="2"/>
        <v>10451.4</v>
      </c>
      <c r="E24" s="7">
        <f t="shared" ref="E24:F24" si="26">if($D24&lt;15000,$D24*12/100,15000*12/100)</f>
        <v>1254.168</v>
      </c>
      <c r="F24" s="7">
        <f t="shared" si="26"/>
        <v>1254.168</v>
      </c>
      <c r="G24" s="7">
        <f t="shared" si="4"/>
        <v>2508.336</v>
      </c>
      <c r="I24" s="106"/>
      <c r="J24" s="106"/>
    </row>
    <row r="25">
      <c r="A25" s="8">
        <f t="shared" si="5"/>
        <v>24</v>
      </c>
      <c r="B25" s="46" t="s">
        <v>223</v>
      </c>
      <c r="C25" s="105">
        <v>24194.0</v>
      </c>
      <c r="D25" s="7">
        <f t="shared" si="2"/>
        <v>14516.4</v>
      </c>
      <c r="E25" s="7">
        <f t="shared" ref="E25:F25" si="27">if($D25&lt;15000,$D25*12/100,15000*12/100)</f>
        <v>1741.968</v>
      </c>
      <c r="F25" s="7">
        <f t="shared" si="27"/>
        <v>1741.968</v>
      </c>
      <c r="G25" s="7">
        <f t="shared" si="4"/>
        <v>3483.936</v>
      </c>
      <c r="I25" s="106"/>
      <c r="J25" s="106"/>
    </row>
    <row r="26">
      <c r="A26" s="8">
        <f t="shared" si="5"/>
        <v>25</v>
      </c>
      <c r="B26" s="46" t="s">
        <v>416</v>
      </c>
      <c r="C26" s="105">
        <v>27581.0</v>
      </c>
      <c r="D26" s="7">
        <f t="shared" si="2"/>
        <v>16548.6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  <c r="I26" s="106"/>
      <c r="J26" s="106"/>
    </row>
    <row r="27">
      <c r="A27" s="8">
        <f t="shared" si="5"/>
        <v>26</v>
      </c>
      <c r="B27" s="46" t="s">
        <v>417</v>
      </c>
      <c r="C27" s="105">
        <v>25000.0</v>
      </c>
      <c r="D27" s="7">
        <f t="shared" si="2"/>
        <v>15000</v>
      </c>
      <c r="E27" s="7">
        <f t="shared" ref="E27:F27" si="29">if($D27&lt;15000,$D27*12/100,15000*12/100)</f>
        <v>1800</v>
      </c>
      <c r="F27" s="7">
        <f t="shared" si="29"/>
        <v>1800</v>
      </c>
      <c r="G27" s="7">
        <f t="shared" si="4"/>
        <v>3600</v>
      </c>
      <c r="I27" s="106"/>
      <c r="J27" s="107"/>
    </row>
    <row r="28">
      <c r="A28" s="8">
        <f t="shared" si="5"/>
        <v>27</v>
      </c>
      <c r="B28" s="46" t="s">
        <v>216</v>
      </c>
      <c r="C28" s="105">
        <v>27000.0</v>
      </c>
      <c r="D28" s="7">
        <f t="shared" si="2"/>
        <v>16200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  <c r="I28" s="106"/>
      <c r="J28" s="107"/>
    </row>
    <row r="29">
      <c r="A29" s="8">
        <f t="shared" si="5"/>
        <v>28</v>
      </c>
      <c r="B29" s="46" t="s">
        <v>277</v>
      </c>
      <c r="C29" s="105">
        <v>15484.0</v>
      </c>
      <c r="D29" s="7">
        <f t="shared" si="2"/>
        <v>9290.4</v>
      </c>
      <c r="E29" s="7">
        <f t="shared" ref="E29:F29" si="31">if($D29&lt;15000,$D29*12/100,15000*12/100)</f>
        <v>1114.848</v>
      </c>
      <c r="F29" s="7">
        <f t="shared" si="31"/>
        <v>1114.848</v>
      </c>
      <c r="G29" s="7">
        <f t="shared" si="4"/>
        <v>2229.696</v>
      </c>
      <c r="I29" s="106"/>
      <c r="J29" s="106"/>
    </row>
    <row r="30">
      <c r="A30" s="8">
        <f t="shared" si="5"/>
        <v>29</v>
      </c>
      <c r="B30" s="46" t="s">
        <v>258</v>
      </c>
      <c r="C30" s="105">
        <v>19355.0</v>
      </c>
      <c r="D30" s="7">
        <f t="shared" si="2"/>
        <v>11613</v>
      </c>
      <c r="E30" s="7">
        <f t="shared" ref="E30:F30" si="32">if($D30&lt;15000,$D30*12/100,15000*12/100)</f>
        <v>1393.56</v>
      </c>
      <c r="F30" s="7">
        <f t="shared" si="32"/>
        <v>1393.56</v>
      </c>
      <c r="G30" s="7">
        <f t="shared" si="4"/>
        <v>2787.12</v>
      </c>
      <c r="I30" s="106"/>
      <c r="J30" s="106"/>
    </row>
    <row r="31">
      <c r="A31" s="8">
        <f t="shared" si="5"/>
        <v>30</v>
      </c>
      <c r="B31" s="46" t="s">
        <v>279</v>
      </c>
      <c r="C31" s="105">
        <v>24000.0</v>
      </c>
      <c r="D31" s="7">
        <f t="shared" si="2"/>
        <v>14400</v>
      </c>
      <c r="E31" s="7">
        <f t="shared" ref="E31:F31" si="33">if($D31&lt;15000,$D31*12/100,15000*12/100)</f>
        <v>1728</v>
      </c>
      <c r="F31" s="7">
        <f t="shared" si="33"/>
        <v>1728</v>
      </c>
      <c r="G31" s="7">
        <f t="shared" si="4"/>
        <v>3456</v>
      </c>
      <c r="I31" s="106"/>
      <c r="J31" s="107"/>
    </row>
    <row r="32">
      <c r="A32" s="8">
        <f t="shared" si="5"/>
        <v>31</v>
      </c>
      <c r="B32" s="26" t="s">
        <v>217</v>
      </c>
      <c r="C32" s="105">
        <v>22629.0</v>
      </c>
      <c r="D32" s="7">
        <f t="shared" si="2"/>
        <v>13577.4</v>
      </c>
      <c r="E32" s="7">
        <f t="shared" ref="E32:F32" si="34">if($D32&lt;15000,$D32*12/100,15000*12/100)</f>
        <v>1629.288</v>
      </c>
      <c r="F32" s="7">
        <f t="shared" si="34"/>
        <v>1629.288</v>
      </c>
      <c r="G32" s="7">
        <f t="shared" si="4"/>
        <v>3258.576</v>
      </c>
      <c r="I32" s="106"/>
      <c r="J32" s="106"/>
    </row>
    <row r="33">
      <c r="A33" s="8">
        <f t="shared" si="5"/>
        <v>32</v>
      </c>
      <c r="B33" s="46" t="s">
        <v>245</v>
      </c>
      <c r="C33" s="105">
        <v>18000.0</v>
      </c>
      <c r="D33" s="7">
        <f t="shared" si="2"/>
        <v>10800</v>
      </c>
      <c r="E33" s="7">
        <f t="shared" ref="E33:F33" si="35">if($D33&lt;15000,$D33*12/100,15000*12/100)</f>
        <v>1296</v>
      </c>
      <c r="F33" s="7">
        <f t="shared" si="35"/>
        <v>1296</v>
      </c>
      <c r="G33" s="7">
        <f t="shared" si="4"/>
        <v>2592</v>
      </c>
      <c r="I33" s="106"/>
      <c r="J33" s="107"/>
    </row>
    <row r="34">
      <c r="A34" s="8">
        <f t="shared" si="5"/>
        <v>33</v>
      </c>
      <c r="B34" s="46" t="s">
        <v>244</v>
      </c>
      <c r="C34" s="105">
        <v>20000.0</v>
      </c>
      <c r="D34" s="7">
        <f t="shared" si="2"/>
        <v>12000</v>
      </c>
      <c r="E34" s="7">
        <f t="shared" ref="E34:F34" si="36">if($D34&lt;15000,$D34*12/100,15000*12/100)</f>
        <v>1440</v>
      </c>
      <c r="F34" s="7">
        <f t="shared" si="36"/>
        <v>1440</v>
      </c>
      <c r="G34" s="7">
        <f t="shared" si="4"/>
        <v>2880</v>
      </c>
      <c r="I34" s="106"/>
      <c r="J34" s="107"/>
    </row>
    <row r="35">
      <c r="A35" s="8">
        <f t="shared" si="5"/>
        <v>34</v>
      </c>
      <c r="B35" s="46" t="s">
        <v>228</v>
      </c>
      <c r="C35" s="105">
        <v>17710.0</v>
      </c>
      <c r="D35" s="7">
        <f t="shared" si="2"/>
        <v>10626</v>
      </c>
      <c r="E35" s="7">
        <f t="shared" ref="E35:F35" si="37">if($D35&lt;15000,$D35*12/100,15000*12/100)</f>
        <v>1275.12</v>
      </c>
      <c r="F35" s="7">
        <f t="shared" si="37"/>
        <v>1275.12</v>
      </c>
      <c r="G35" s="7">
        <f t="shared" si="4"/>
        <v>2550.24</v>
      </c>
      <c r="I35" s="106"/>
      <c r="J35" s="106"/>
    </row>
    <row r="36">
      <c r="A36" s="8">
        <f t="shared" si="5"/>
        <v>35</v>
      </c>
      <c r="B36" s="46" t="s">
        <v>227</v>
      </c>
      <c r="C36" s="105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  <c r="I36" s="106"/>
      <c r="J36" s="107"/>
    </row>
    <row r="37">
      <c r="A37" s="8">
        <f t="shared" si="5"/>
        <v>36</v>
      </c>
      <c r="B37" s="46" t="s">
        <v>377</v>
      </c>
      <c r="C37" s="108">
        <v>19000.0</v>
      </c>
      <c r="D37" s="7">
        <f t="shared" si="2"/>
        <v>11400</v>
      </c>
      <c r="E37" s="7">
        <f t="shared" ref="E37:F37" si="39">if($D37&lt;15000,$D37*12/100,15000*12/100)</f>
        <v>1368</v>
      </c>
      <c r="F37" s="7">
        <f t="shared" si="39"/>
        <v>1368</v>
      </c>
      <c r="G37" s="7">
        <f t="shared" si="4"/>
        <v>2736</v>
      </c>
      <c r="I37" s="106"/>
      <c r="J37" s="107"/>
    </row>
    <row r="38">
      <c r="A38" s="8">
        <f t="shared" si="5"/>
        <v>37</v>
      </c>
      <c r="B38" s="40" t="s">
        <v>419</v>
      </c>
      <c r="C38" s="108">
        <v>16000.0</v>
      </c>
      <c r="D38" s="7">
        <f t="shared" si="2"/>
        <v>9600</v>
      </c>
      <c r="E38" s="7">
        <f t="shared" ref="E38:F38" si="40">if($D38&lt;15000,$D38*12/100,15000*12/100)</f>
        <v>1152</v>
      </c>
      <c r="F38" s="7">
        <f t="shared" si="40"/>
        <v>1152</v>
      </c>
      <c r="G38" s="7">
        <f t="shared" si="4"/>
        <v>2304</v>
      </c>
      <c r="I38" s="106"/>
      <c r="J38" s="107"/>
    </row>
    <row r="39">
      <c r="A39" s="8">
        <f t="shared" si="5"/>
        <v>38</v>
      </c>
      <c r="B39" s="40" t="s">
        <v>220</v>
      </c>
      <c r="C39" s="108">
        <v>27500.0</v>
      </c>
      <c r="D39" s="7">
        <f t="shared" si="2"/>
        <v>16500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  <c r="I39" s="106"/>
      <c r="J39" s="107"/>
    </row>
    <row r="40">
      <c r="A40" s="8">
        <f t="shared" si="5"/>
        <v>39</v>
      </c>
      <c r="B40" s="40" t="s">
        <v>235</v>
      </c>
      <c r="C40" s="108">
        <v>21290.0</v>
      </c>
      <c r="D40" s="7">
        <f t="shared" si="2"/>
        <v>12774</v>
      </c>
      <c r="E40" s="7">
        <f t="shared" ref="E40:F40" si="42">if($D40&lt;15000,$D40*12/100,15000*12/100)</f>
        <v>1532.88</v>
      </c>
      <c r="F40" s="7">
        <f t="shared" si="42"/>
        <v>1532.88</v>
      </c>
      <c r="G40" s="7">
        <f t="shared" si="4"/>
        <v>3065.76</v>
      </c>
      <c r="I40" s="106"/>
      <c r="J40" s="106"/>
    </row>
    <row r="41">
      <c r="A41" s="8">
        <f t="shared" si="5"/>
        <v>40</v>
      </c>
      <c r="B41" s="40" t="s">
        <v>275</v>
      </c>
      <c r="C41" s="108">
        <v>15226.0</v>
      </c>
      <c r="D41" s="7">
        <f t="shared" si="2"/>
        <v>9135.6</v>
      </c>
      <c r="E41" s="7">
        <f t="shared" ref="E41:F41" si="43">if($D41&lt;15000,$D41*12/100,15000*12/100)</f>
        <v>1096.272</v>
      </c>
      <c r="F41" s="7">
        <f t="shared" si="43"/>
        <v>1096.272</v>
      </c>
      <c r="G41" s="7">
        <f t="shared" si="4"/>
        <v>2192.544</v>
      </c>
      <c r="I41" s="106"/>
      <c r="J41" s="106"/>
    </row>
    <row r="42">
      <c r="A42" s="8">
        <f t="shared" si="5"/>
        <v>41</v>
      </c>
      <c r="B42" s="40" t="s">
        <v>421</v>
      </c>
      <c r="C42" s="108">
        <v>15000.0</v>
      </c>
      <c r="D42" s="7">
        <f t="shared" si="2"/>
        <v>9000</v>
      </c>
      <c r="E42" s="7">
        <f t="shared" ref="E42:F42" si="44">if($D42&lt;15000,$D42*12/100,15000*12/100)</f>
        <v>1080</v>
      </c>
      <c r="F42" s="7">
        <f t="shared" si="44"/>
        <v>1080</v>
      </c>
      <c r="G42" s="7">
        <f t="shared" si="4"/>
        <v>2160</v>
      </c>
      <c r="I42" s="106"/>
      <c r="J42" s="107"/>
    </row>
    <row r="43">
      <c r="A43" s="8">
        <f t="shared" si="5"/>
        <v>42</v>
      </c>
      <c r="B43" s="40" t="s">
        <v>422</v>
      </c>
      <c r="C43" s="108">
        <v>27000.0</v>
      </c>
      <c r="D43" s="7">
        <f t="shared" si="2"/>
        <v>16200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  <c r="I43" s="106"/>
      <c r="J43" s="107"/>
    </row>
    <row r="44">
      <c r="A44" s="8">
        <f t="shared" si="5"/>
        <v>43</v>
      </c>
      <c r="B44" s="40" t="s">
        <v>423</v>
      </c>
      <c r="C44" s="108">
        <v>13000.0</v>
      </c>
      <c r="D44" s="7">
        <f t="shared" si="2"/>
        <v>7800</v>
      </c>
      <c r="E44" s="7">
        <f t="shared" ref="E44:F44" si="46">if($D44&lt;15000,$D44*12/100,15000*12/100)</f>
        <v>936</v>
      </c>
      <c r="F44" s="7">
        <f t="shared" si="46"/>
        <v>936</v>
      </c>
      <c r="G44" s="7">
        <f t="shared" si="4"/>
        <v>1872</v>
      </c>
      <c r="I44" s="106"/>
      <c r="J44" s="107"/>
    </row>
    <row r="45">
      <c r="A45" s="8">
        <f t="shared" si="5"/>
        <v>44</v>
      </c>
      <c r="B45" s="40" t="s">
        <v>443</v>
      </c>
      <c r="C45" s="108">
        <v>15000.0</v>
      </c>
      <c r="D45" s="7">
        <f t="shared" si="2"/>
        <v>9000</v>
      </c>
      <c r="E45" s="7">
        <f t="shared" ref="E45:F45" si="47">if($D45&lt;15000,$D45*12/100,15000*12/100)</f>
        <v>1080</v>
      </c>
      <c r="F45" s="7">
        <f t="shared" si="47"/>
        <v>1080</v>
      </c>
      <c r="G45" s="7">
        <f t="shared" si="4"/>
        <v>2160</v>
      </c>
      <c r="I45" s="106"/>
      <c r="J45" s="107"/>
    </row>
    <row r="46">
      <c r="A46" s="8">
        <f t="shared" si="5"/>
        <v>45</v>
      </c>
      <c r="B46" s="40" t="s">
        <v>425</v>
      </c>
      <c r="C46" s="108">
        <v>23000.0</v>
      </c>
      <c r="D46" s="7">
        <f t="shared" si="2"/>
        <v>13800</v>
      </c>
      <c r="E46" s="7">
        <f t="shared" ref="E46:F46" si="48">if($D46&lt;15000,$D46*12/100,15000*12/100)</f>
        <v>1656</v>
      </c>
      <c r="F46" s="7">
        <f t="shared" si="48"/>
        <v>1656</v>
      </c>
      <c r="G46" s="7">
        <f t="shared" si="4"/>
        <v>3312</v>
      </c>
      <c r="I46" s="106"/>
      <c r="J46" s="107"/>
    </row>
    <row r="47">
      <c r="A47" s="8">
        <f t="shared" si="5"/>
        <v>46</v>
      </c>
      <c r="B47" s="40" t="s">
        <v>444</v>
      </c>
      <c r="C47" s="108">
        <v>16452.0</v>
      </c>
      <c r="D47" s="7">
        <f t="shared" si="2"/>
        <v>9871.2</v>
      </c>
      <c r="E47" s="7">
        <f t="shared" ref="E47:F47" si="49">if($D47&lt;15000,$D47*12/100,15000*12/100)</f>
        <v>1184.544</v>
      </c>
      <c r="F47" s="7">
        <f t="shared" si="49"/>
        <v>1184.544</v>
      </c>
      <c r="G47" s="7">
        <f t="shared" si="4"/>
        <v>2369.088</v>
      </c>
      <c r="I47" s="106"/>
      <c r="J47" s="106"/>
    </row>
    <row r="48">
      <c r="A48" s="8">
        <f t="shared" si="5"/>
        <v>47</v>
      </c>
      <c r="B48" s="40" t="s">
        <v>427</v>
      </c>
      <c r="C48" s="108">
        <v>16000.0</v>
      </c>
      <c r="D48" s="7">
        <f t="shared" si="2"/>
        <v>9600</v>
      </c>
      <c r="E48" s="7">
        <f t="shared" ref="E48:F48" si="50">if($D48&lt;15000,$D48*12/100,15000*12/100)</f>
        <v>1152</v>
      </c>
      <c r="F48" s="7">
        <f t="shared" si="50"/>
        <v>1152</v>
      </c>
      <c r="G48" s="7">
        <f t="shared" si="4"/>
        <v>2304</v>
      </c>
      <c r="I48" s="106"/>
      <c r="J48" s="107"/>
    </row>
    <row r="49">
      <c r="A49" s="8">
        <f t="shared" si="5"/>
        <v>48</v>
      </c>
      <c r="B49" s="40" t="s">
        <v>429</v>
      </c>
      <c r="C49" s="108">
        <v>70000.0</v>
      </c>
      <c r="D49" s="7">
        <f t="shared" si="2"/>
        <v>42000</v>
      </c>
      <c r="E49" s="7">
        <f t="shared" ref="E49:F49" si="51">if($D49&lt;15000,$D49*12/100,15000*12/100)</f>
        <v>1800</v>
      </c>
      <c r="F49" s="7">
        <f t="shared" si="51"/>
        <v>1800</v>
      </c>
      <c r="G49" s="7">
        <f t="shared" si="4"/>
        <v>3600</v>
      </c>
      <c r="I49" s="106"/>
      <c r="J49" s="107"/>
    </row>
    <row r="50">
      <c r="A50" s="8">
        <f t="shared" si="5"/>
        <v>49</v>
      </c>
      <c r="B50" s="40" t="s">
        <v>430</v>
      </c>
      <c r="C50" s="108">
        <v>16258.0</v>
      </c>
      <c r="D50" s="7">
        <f t="shared" si="2"/>
        <v>9754.8</v>
      </c>
      <c r="E50" s="7">
        <f t="shared" ref="E50:F50" si="52">if($D50&lt;15000,$D50*12/100,15000*12/100)</f>
        <v>1170.576</v>
      </c>
      <c r="F50" s="7">
        <f t="shared" si="52"/>
        <v>1170.576</v>
      </c>
      <c r="G50" s="7">
        <f t="shared" si="4"/>
        <v>2341.152</v>
      </c>
      <c r="I50" s="106"/>
      <c r="J50" s="106"/>
    </row>
    <row r="51">
      <c r="A51" s="8">
        <f t="shared" si="5"/>
        <v>50</v>
      </c>
      <c r="B51" s="40" t="s">
        <v>432</v>
      </c>
      <c r="C51" s="108">
        <v>18000.0</v>
      </c>
      <c r="D51" s="7">
        <f t="shared" si="2"/>
        <v>10800</v>
      </c>
      <c r="E51" s="7">
        <f t="shared" ref="E51:F51" si="53">if($D51&lt;15000,$D51*12/100,15000*12/100)</f>
        <v>1296</v>
      </c>
      <c r="F51" s="7">
        <f t="shared" si="53"/>
        <v>1296</v>
      </c>
      <c r="G51" s="7">
        <f t="shared" si="4"/>
        <v>2592</v>
      </c>
      <c r="I51" s="106"/>
      <c r="J51" s="107"/>
    </row>
    <row r="52">
      <c r="A52" s="8">
        <f t="shared" si="5"/>
        <v>51</v>
      </c>
      <c r="B52" s="40" t="s">
        <v>433</v>
      </c>
      <c r="C52" s="108">
        <v>14758.0</v>
      </c>
      <c r="D52" s="7">
        <f t="shared" si="2"/>
        <v>8854.8</v>
      </c>
      <c r="E52" s="7">
        <f t="shared" ref="E52:F52" si="54">if($D52&lt;15000,$D52*12/100,15000*12/100)</f>
        <v>1062.576</v>
      </c>
      <c r="F52" s="7">
        <f t="shared" si="54"/>
        <v>1062.576</v>
      </c>
      <c r="G52" s="7">
        <f t="shared" si="4"/>
        <v>2125.152</v>
      </c>
      <c r="I52" s="106"/>
      <c r="J52" s="106"/>
    </row>
    <row r="53">
      <c r="A53" s="8">
        <f t="shared" si="5"/>
        <v>52</v>
      </c>
      <c r="B53" s="40" t="s">
        <v>445</v>
      </c>
      <c r="C53" s="108">
        <v>17000.0</v>
      </c>
      <c r="D53" s="7">
        <f t="shared" si="2"/>
        <v>10200</v>
      </c>
      <c r="E53" s="7">
        <f t="shared" ref="E53:F53" si="55">if($D53&lt;15000,$D53*12/100,15000*12/100)</f>
        <v>1224</v>
      </c>
      <c r="F53" s="7">
        <f t="shared" si="55"/>
        <v>1224</v>
      </c>
      <c r="G53" s="7">
        <f t="shared" si="4"/>
        <v>2448</v>
      </c>
      <c r="I53" s="106"/>
      <c r="J53" s="107"/>
    </row>
    <row r="54">
      <c r="A54" s="8">
        <f t="shared" si="5"/>
        <v>53</v>
      </c>
      <c r="B54" s="40" t="s">
        <v>446</v>
      </c>
      <c r="C54" s="108">
        <v>17419.0</v>
      </c>
      <c r="D54" s="7">
        <f t="shared" si="2"/>
        <v>10451.4</v>
      </c>
      <c r="E54" s="7">
        <f t="shared" ref="E54:F54" si="56">if($D54&lt;15000,$D54*12/100,15000*12/100)</f>
        <v>1254.168</v>
      </c>
      <c r="F54" s="7">
        <f t="shared" si="56"/>
        <v>1254.168</v>
      </c>
      <c r="G54" s="7">
        <f t="shared" si="4"/>
        <v>2508.336</v>
      </c>
      <c r="I54" s="106"/>
      <c r="J54" s="106"/>
    </row>
    <row r="55">
      <c r="A55" s="8">
        <f t="shared" si="5"/>
        <v>54</v>
      </c>
      <c r="B55" s="40" t="s">
        <v>447</v>
      </c>
      <c r="C55" s="108">
        <v>17419.0</v>
      </c>
      <c r="D55" s="7">
        <f t="shared" si="2"/>
        <v>10451.4</v>
      </c>
      <c r="E55" s="7">
        <f t="shared" ref="E55:F55" si="57">if($D55&lt;15000,$D55*12/100,15000*12/100)</f>
        <v>1254.168</v>
      </c>
      <c r="F55" s="7">
        <f t="shared" si="57"/>
        <v>1254.168</v>
      </c>
      <c r="G55" s="7">
        <f t="shared" si="4"/>
        <v>2508.336</v>
      </c>
      <c r="I55" s="106"/>
      <c r="J55" s="106"/>
    </row>
    <row r="56">
      <c r="A56" s="8">
        <f t="shared" si="5"/>
        <v>55</v>
      </c>
      <c r="B56" s="40" t="s">
        <v>448</v>
      </c>
      <c r="C56" s="108">
        <v>40645.0</v>
      </c>
      <c r="D56" s="7">
        <f t="shared" si="2"/>
        <v>24387</v>
      </c>
      <c r="E56" s="7">
        <f t="shared" ref="E56:F56" si="58">if($D56&lt;15000,$D56*12/100,15000*12/100)</f>
        <v>1800</v>
      </c>
      <c r="F56" s="7">
        <f t="shared" si="58"/>
        <v>1800</v>
      </c>
      <c r="G56" s="7">
        <f t="shared" si="4"/>
        <v>3600</v>
      </c>
      <c r="I56" s="106"/>
      <c r="J56" s="106"/>
    </row>
    <row r="57">
      <c r="A57" s="8">
        <f t="shared" si="5"/>
        <v>56</v>
      </c>
      <c r="B57" s="40" t="s">
        <v>450</v>
      </c>
      <c r="C57" s="108">
        <v>43000.0</v>
      </c>
      <c r="D57" s="7">
        <f t="shared" si="2"/>
        <v>25800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  <c r="I57" s="106"/>
      <c r="J57" s="107"/>
    </row>
    <row r="58">
      <c r="A58" s="8">
        <f t="shared" si="5"/>
        <v>57</v>
      </c>
      <c r="B58" s="40" t="s">
        <v>451</v>
      </c>
      <c r="C58" s="108">
        <v>38065.0</v>
      </c>
      <c r="D58" s="7">
        <f t="shared" si="2"/>
        <v>22839</v>
      </c>
      <c r="E58" s="7">
        <f t="shared" ref="E58:F58" si="60">if($D58&lt;15000,$D58*12/100,15000*12/100)</f>
        <v>1800</v>
      </c>
      <c r="F58" s="7">
        <f t="shared" si="60"/>
        <v>1800</v>
      </c>
      <c r="G58" s="7">
        <f t="shared" si="4"/>
        <v>3600</v>
      </c>
      <c r="I58" s="106"/>
      <c r="J58" s="106"/>
    </row>
    <row r="59">
      <c r="A59" s="8">
        <f t="shared" si="5"/>
        <v>58</v>
      </c>
      <c r="B59" s="40" t="s">
        <v>452</v>
      </c>
      <c r="C59" s="105">
        <v>16000.0</v>
      </c>
      <c r="D59" s="7">
        <f t="shared" si="2"/>
        <v>9600</v>
      </c>
      <c r="E59" s="7">
        <f t="shared" ref="E59:F59" si="61">if($D59&lt;15000,$D59*12/100,15000*12/100)</f>
        <v>1152</v>
      </c>
      <c r="F59" s="7">
        <f t="shared" si="61"/>
        <v>1152</v>
      </c>
      <c r="G59" s="7">
        <f t="shared" si="4"/>
        <v>2304</v>
      </c>
      <c r="I59" s="106"/>
      <c r="J59" s="107"/>
    </row>
    <row r="60">
      <c r="A60" s="8">
        <f t="shared" si="5"/>
        <v>59</v>
      </c>
      <c r="B60" s="40" t="s">
        <v>454</v>
      </c>
      <c r="C60" s="105">
        <v>35806.0</v>
      </c>
      <c r="D60" s="7">
        <f t="shared" si="2"/>
        <v>21483.6</v>
      </c>
      <c r="E60" s="7">
        <f t="shared" ref="E60:F60" si="62">if($D60&lt;15000,$D60*12/100,15000*12/100)</f>
        <v>1800</v>
      </c>
      <c r="F60" s="7">
        <f t="shared" si="62"/>
        <v>1800</v>
      </c>
      <c r="G60" s="7">
        <f t="shared" si="4"/>
        <v>3600</v>
      </c>
      <c r="I60" s="106"/>
      <c r="J60" s="106"/>
    </row>
    <row r="61">
      <c r="A61" s="8">
        <f t="shared" si="5"/>
        <v>60</v>
      </c>
      <c r="B61" s="40" t="s">
        <v>455</v>
      </c>
      <c r="C61" s="105">
        <v>25000.0</v>
      </c>
      <c r="D61" s="7">
        <f t="shared" si="2"/>
        <v>15000</v>
      </c>
      <c r="E61" s="7">
        <f t="shared" ref="E61:F61" si="63">if($D61&lt;15000,$D61*12/100,15000*12/100)</f>
        <v>1800</v>
      </c>
      <c r="F61" s="7">
        <f t="shared" si="63"/>
        <v>1800</v>
      </c>
      <c r="G61" s="7">
        <f t="shared" si="4"/>
        <v>3600</v>
      </c>
      <c r="I61" s="106"/>
      <c r="J61" s="107"/>
    </row>
    <row r="62">
      <c r="A62" s="8">
        <f t="shared" si="5"/>
        <v>61</v>
      </c>
      <c r="B62" s="40" t="s">
        <v>456</v>
      </c>
      <c r="C62" s="105">
        <v>16000.0</v>
      </c>
      <c r="D62" s="7">
        <f t="shared" si="2"/>
        <v>9600</v>
      </c>
      <c r="E62" s="7">
        <f t="shared" ref="E62:F62" si="64">if($D62&lt;15000,$D62*12/100,15000*12/100)</f>
        <v>1152</v>
      </c>
      <c r="F62" s="7">
        <f t="shared" si="64"/>
        <v>1152</v>
      </c>
      <c r="G62" s="7">
        <f t="shared" si="4"/>
        <v>2304</v>
      </c>
      <c r="I62" s="106"/>
      <c r="J62" s="107"/>
    </row>
    <row r="63">
      <c r="A63" s="8">
        <f t="shared" si="5"/>
        <v>62</v>
      </c>
      <c r="B63" s="40" t="s">
        <v>461</v>
      </c>
      <c r="C63" s="105">
        <v>15226.0</v>
      </c>
      <c r="D63" s="7">
        <f t="shared" si="2"/>
        <v>9135.6</v>
      </c>
      <c r="E63" s="7">
        <f t="shared" ref="E63:F63" si="65">if($D63&lt;15000,$D63*12/100,15000*12/100)</f>
        <v>1096.272</v>
      </c>
      <c r="F63" s="7">
        <f t="shared" si="65"/>
        <v>1096.272</v>
      </c>
      <c r="G63" s="7">
        <f t="shared" si="4"/>
        <v>2192.544</v>
      </c>
      <c r="I63" s="106"/>
      <c r="J63" s="106"/>
    </row>
    <row r="64">
      <c r="A64" s="8">
        <f t="shared" si="5"/>
        <v>63</v>
      </c>
      <c r="B64" s="40" t="s">
        <v>437</v>
      </c>
      <c r="C64" s="105">
        <v>25000.0</v>
      </c>
      <c r="D64" s="7">
        <f t="shared" si="2"/>
        <v>15000</v>
      </c>
      <c r="E64" s="7">
        <f t="shared" ref="E64:F64" si="66">if($D64&lt;15000,$D64*12/100,15000*12/100)</f>
        <v>1800</v>
      </c>
      <c r="F64" s="7">
        <f t="shared" si="66"/>
        <v>1800</v>
      </c>
      <c r="G64" s="7">
        <f t="shared" si="4"/>
        <v>3600</v>
      </c>
      <c r="I64" s="106"/>
      <c r="J64" s="107"/>
    </row>
    <row r="65">
      <c r="A65" s="8">
        <f t="shared" si="5"/>
        <v>64</v>
      </c>
      <c r="B65" s="40" t="s">
        <v>463</v>
      </c>
      <c r="C65" s="105">
        <v>16000.0</v>
      </c>
      <c r="D65" s="7">
        <f t="shared" si="2"/>
        <v>9600</v>
      </c>
      <c r="E65" s="7">
        <f t="shared" ref="E65:F65" si="67">if($D65&lt;15000,$D65*12/100,15000*12/100)</f>
        <v>1152</v>
      </c>
      <c r="F65" s="7">
        <f t="shared" si="67"/>
        <v>1152</v>
      </c>
      <c r="G65" s="7">
        <f t="shared" si="4"/>
        <v>2304</v>
      </c>
      <c r="I65" s="106"/>
      <c r="J65" s="107"/>
    </row>
    <row r="66">
      <c r="A66" s="8">
        <f t="shared" si="5"/>
        <v>65</v>
      </c>
      <c r="B66" s="40" t="s">
        <v>469</v>
      </c>
      <c r="C66" s="105">
        <v>17000.0</v>
      </c>
      <c r="D66" s="7">
        <f t="shared" si="2"/>
        <v>10200</v>
      </c>
      <c r="E66" s="7">
        <f t="shared" ref="E66:F66" si="68">if($D66&lt;15000,$D66*12/100,15000*12/100)</f>
        <v>1224</v>
      </c>
      <c r="F66" s="7">
        <f t="shared" si="68"/>
        <v>1224</v>
      </c>
      <c r="G66" s="7">
        <f t="shared" si="4"/>
        <v>2448</v>
      </c>
      <c r="I66" s="106"/>
      <c r="J66" s="107"/>
    </row>
    <row r="67">
      <c r="A67" s="8">
        <f t="shared" si="5"/>
        <v>66</v>
      </c>
      <c r="B67" s="87" t="s">
        <v>470</v>
      </c>
      <c r="C67" s="105">
        <v>12000.0</v>
      </c>
      <c r="D67" s="7">
        <f t="shared" si="2"/>
        <v>7200</v>
      </c>
      <c r="E67" s="7">
        <f t="shared" ref="E67:F67" si="69">if($D67&lt;15000,$D67*12/100,15000*12/100)</f>
        <v>864</v>
      </c>
      <c r="F67" s="7">
        <f t="shared" si="69"/>
        <v>864</v>
      </c>
      <c r="G67" s="7">
        <f t="shared" si="4"/>
        <v>1728</v>
      </c>
      <c r="I67" s="106"/>
      <c r="J67" s="107"/>
    </row>
    <row r="68">
      <c r="A68" s="8">
        <f t="shared" si="5"/>
        <v>67</v>
      </c>
      <c r="B68" s="40" t="s">
        <v>471</v>
      </c>
      <c r="C68" s="105">
        <v>14000.0</v>
      </c>
      <c r="D68" s="7">
        <f t="shared" si="2"/>
        <v>8400</v>
      </c>
      <c r="E68" s="7">
        <f t="shared" ref="E68:F68" si="70">if($D68&lt;15000,$D68*12/100,15000*12/100)</f>
        <v>1008</v>
      </c>
      <c r="F68" s="7">
        <f t="shared" si="70"/>
        <v>1008</v>
      </c>
      <c r="G68" s="7">
        <f t="shared" si="4"/>
        <v>2016</v>
      </c>
      <c r="I68" s="106"/>
      <c r="J68" s="107"/>
    </row>
    <row r="69">
      <c r="A69" s="8">
        <f t="shared" si="5"/>
        <v>68</v>
      </c>
      <c r="B69" s="40" t="s">
        <v>477</v>
      </c>
      <c r="C69" s="105">
        <v>13000.0</v>
      </c>
      <c r="D69" s="7">
        <f t="shared" si="2"/>
        <v>7800</v>
      </c>
      <c r="E69" s="7">
        <f t="shared" ref="E69:F69" si="71">if($D69&lt;15000,$D69*12/100,15000*12/100)</f>
        <v>936</v>
      </c>
      <c r="F69" s="7">
        <f t="shared" si="71"/>
        <v>936</v>
      </c>
      <c r="G69" s="7">
        <f t="shared" si="4"/>
        <v>1872</v>
      </c>
      <c r="I69" s="106"/>
      <c r="J69" s="107"/>
    </row>
    <row r="70">
      <c r="A70" s="8">
        <f t="shared" si="5"/>
        <v>69</v>
      </c>
      <c r="B70" s="40" t="s">
        <v>482</v>
      </c>
      <c r="C70" s="105">
        <v>24323.0</v>
      </c>
      <c r="D70" s="7">
        <f t="shared" si="2"/>
        <v>14593.8</v>
      </c>
      <c r="E70" s="7">
        <f t="shared" ref="E70:F70" si="72">if($D70&lt;15000,$D70*12/100,15000*12/100)</f>
        <v>1751.256</v>
      </c>
      <c r="F70" s="7">
        <f t="shared" si="72"/>
        <v>1751.256</v>
      </c>
      <c r="G70" s="7">
        <f t="shared" si="4"/>
        <v>3502.512</v>
      </c>
      <c r="I70" s="106"/>
      <c r="J70" s="106"/>
    </row>
    <row r="71">
      <c r="A71" s="8">
        <f t="shared" si="5"/>
        <v>70</v>
      </c>
      <c r="B71" s="40" t="s">
        <v>478</v>
      </c>
      <c r="C71" s="105">
        <v>9000.0</v>
      </c>
      <c r="D71" s="7">
        <f t="shared" si="2"/>
        <v>5400</v>
      </c>
      <c r="E71" s="7">
        <f t="shared" ref="E71:F71" si="73">if($D71&lt;15000,$D71*12/100,15000*12/100)</f>
        <v>648</v>
      </c>
      <c r="F71" s="7">
        <f t="shared" si="73"/>
        <v>648</v>
      </c>
      <c r="G71" s="7">
        <f t="shared" si="4"/>
        <v>1296</v>
      </c>
      <c r="I71" s="106"/>
      <c r="J71" s="107"/>
    </row>
    <row r="72">
      <c r="A72" s="8">
        <f t="shared" si="5"/>
        <v>71</v>
      </c>
      <c r="B72" s="40" t="s">
        <v>283</v>
      </c>
      <c r="C72" s="105">
        <v>10000.0</v>
      </c>
      <c r="D72" s="7">
        <f t="shared" si="2"/>
        <v>6000</v>
      </c>
      <c r="E72" s="7">
        <f t="shared" ref="E72:F72" si="74">if($D72&lt;15000,$D72*12/100,15000*12/100)</f>
        <v>720</v>
      </c>
      <c r="F72" s="7">
        <f t="shared" si="74"/>
        <v>720</v>
      </c>
      <c r="G72" s="7">
        <f t="shared" si="4"/>
        <v>1440</v>
      </c>
      <c r="I72" s="106"/>
      <c r="J72" s="107"/>
    </row>
    <row r="73">
      <c r="A73" s="8">
        <f t="shared" si="5"/>
        <v>72</v>
      </c>
      <c r="B73" s="40" t="s">
        <v>479</v>
      </c>
      <c r="C73" s="105">
        <v>8000.0</v>
      </c>
      <c r="D73" s="7">
        <f t="shared" si="2"/>
        <v>4800</v>
      </c>
      <c r="E73" s="7">
        <f t="shared" ref="E73:F73" si="75">if($D73&lt;15000,$D73*12/100,15000*12/100)</f>
        <v>576</v>
      </c>
      <c r="F73" s="7">
        <f t="shared" si="75"/>
        <v>576</v>
      </c>
      <c r="G73" s="7">
        <f t="shared" si="4"/>
        <v>1152</v>
      </c>
      <c r="I73" s="106"/>
      <c r="J73" s="107"/>
    </row>
    <row r="74">
      <c r="A74" s="8">
        <f t="shared" si="5"/>
        <v>73</v>
      </c>
      <c r="B74" s="40" t="s">
        <v>285</v>
      </c>
      <c r="C74" s="105">
        <v>9000.0</v>
      </c>
      <c r="D74" s="7">
        <f t="shared" si="2"/>
        <v>5400</v>
      </c>
      <c r="E74" s="7">
        <f t="shared" ref="E74:F74" si="76">if($D74&lt;15000,$D74*12/100,15000*12/100)</f>
        <v>648</v>
      </c>
      <c r="F74" s="7">
        <f t="shared" si="76"/>
        <v>648</v>
      </c>
      <c r="G74" s="7">
        <f t="shared" si="4"/>
        <v>1296</v>
      </c>
      <c r="I74" s="106"/>
      <c r="J74" s="107"/>
    </row>
    <row r="75">
      <c r="A75" s="8">
        <f t="shared" si="5"/>
        <v>74</v>
      </c>
      <c r="B75" s="40" t="s">
        <v>457</v>
      </c>
      <c r="C75" s="105">
        <v>7484.0</v>
      </c>
      <c r="D75" s="7">
        <f t="shared" si="2"/>
        <v>4490.4</v>
      </c>
      <c r="E75" s="7">
        <f t="shared" ref="E75:F75" si="77">if($D75&lt;15000,$D75*12/100,15000*12/100)</f>
        <v>538.848</v>
      </c>
      <c r="F75" s="7">
        <f t="shared" si="77"/>
        <v>538.848</v>
      </c>
      <c r="G75" s="7">
        <f t="shared" si="4"/>
        <v>1077.696</v>
      </c>
      <c r="I75" s="106"/>
      <c r="J75" s="106"/>
    </row>
    <row r="76">
      <c r="A76" s="8">
        <f t="shared" si="5"/>
        <v>75</v>
      </c>
      <c r="B76" s="40" t="s">
        <v>384</v>
      </c>
      <c r="C76" s="105">
        <v>30000.0</v>
      </c>
      <c r="D76" s="7">
        <f t="shared" si="2"/>
        <v>18000</v>
      </c>
      <c r="E76" s="7">
        <f t="shared" ref="E76:F76" si="78">if($D76&lt;15000,$D76*12/100,15000*12/100)</f>
        <v>1800</v>
      </c>
      <c r="F76" s="7">
        <f t="shared" si="78"/>
        <v>1800</v>
      </c>
      <c r="G76" s="7">
        <f t="shared" si="4"/>
        <v>3600</v>
      </c>
      <c r="I76" s="106"/>
      <c r="J76" s="107"/>
    </row>
    <row r="77">
      <c r="A77" s="8">
        <f t="shared" si="5"/>
        <v>76</v>
      </c>
      <c r="B77" s="40" t="s">
        <v>472</v>
      </c>
      <c r="C77" s="105">
        <v>23387.0</v>
      </c>
      <c r="D77" s="7">
        <f t="shared" si="2"/>
        <v>14032.2</v>
      </c>
      <c r="E77" s="7">
        <f t="shared" ref="E77:F77" si="79">if($D77&lt;15000,$D77*12/100,15000*12/100)</f>
        <v>1683.864</v>
      </c>
      <c r="F77" s="7">
        <f t="shared" si="79"/>
        <v>1683.864</v>
      </c>
      <c r="G77" s="7">
        <f t="shared" si="4"/>
        <v>3367.728</v>
      </c>
      <c r="I77" s="106"/>
      <c r="J77" s="106"/>
    </row>
    <row r="78">
      <c r="A78" s="8">
        <f t="shared" si="5"/>
        <v>77</v>
      </c>
      <c r="B78" s="40" t="s">
        <v>473</v>
      </c>
      <c r="C78" s="105">
        <v>16452.0</v>
      </c>
      <c r="D78" s="7">
        <f t="shared" si="2"/>
        <v>9871.2</v>
      </c>
      <c r="E78" s="7">
        <f t="shared" ref="E78:F78" si="80">if($D78&lt;15000,$D78*12/100,15000*12/100)</f>
        <v>1184.544</v>
      </c>
      <c r="F78" s="7">
        <f t="shared" si="80"/>
        <v>1184.544</v>
      </c>
      <c r="G78" s="7">
        <f t="shared" si="4"/>
        <v>2369.088</v>
      </c>
      <c r="I78" s="106"/>
      <c r="J78" s="106"/>
    </row>
    <row r="79">
      <c r="A79" s="8">
        <f t="shared" si="5"/>
        <v>78</v>
      </c>
      <c r="B79" s="40" t="s">
        <v>263</v>
      </c>
      <c r="C79" s="105">
        <v>18000.0</v>
      </c>
      <c r="D79" s="7">
        <f t="shared" si="2"/>
        <v>10800</v>
      </c>
      <c r="E79" s="7">
        <f t="shared" ref="E79:F79" si="81">if($D79&lt;15000,$D79*12/100,15000*12/100)</f>
        <v>1296</v>
      </c>
      <c r="F79" s="7">
        <f t="shared" si="81"/>
        <v>1296</v>
      </c>
      <c r="G79" s="7">
        <f t="shared" si="4"/>
        <v>2592</v>
      </c>
      <c r="I79" s="106"/>
      <c r="J79" s="107"/>
    </row>
    <row r="80">
      <c r="A80" s="8">
        <f t="shared" si="5"/>
        <v>79</v>
      </c>
      <c r="B80" s="40" t="s">
        <v>389</v>
      </c>
      <c r="C80" s="105">
        <v>20000.0</v>
      </c>
      <c r="D80" s="7">
        <f t="shared" si="2"/>
        <v>12000</v>
      </c>
      <c r="E80" s="7">
        <f t="shared" ref="E80:F80" si="82">if($D80&lt;15000,$D80*12/100,15000*12/100)</f>
        <v>1440</v>
      </c>
      <c r="F80" s="7">
        <f t="shared" si="82"/>
        <v>1440</v>
      </c>
      <c r="G80" s="7">
        <f t="shared" si="4"/>
        <v>2880</v>
      </c>
      <c r="I80" s="106"/>
      <c r="J80" s="107"/>
    </row>
    <row r="81">
      <c r="A81" s="8">
        <f t="shared" si="5"/>
        <v>80</v>
      </c>
      <c r="B81" s="40" t="s">
        <v>465</v>
      </c>
      <c r="C81" s="105">
        <v>24194.0</v>
      </c>
      <c r="D81" s="7">
        <f t="shared" si="2"/>
        <v>14516.4</v>
      </c>
      <c r="E81" s="7">
        <f t="shared" ref="E81:F81" si="83">if($D81&lt;15000,$D81*12/100,15000*12/100)</f>
        <v>1741.968</v>
      </c>
      <c r="F81" s="7">
        <f t="shared" si="83"/>
        <v>1741.968</v>
      </c>
      <c r="G81" s="7">
        <f t="shared" si="4"/>
        <v>3483.936</v>
      </c>
      <c r="I81" s="106"/>
      <c r="J81" s="106"/>
    </row>
    <row r="82">
      <c r="A82" s="8">
        <f t="shared" si="5"/>
        <v>81</v>
      </c>
      <c r="B82" s="40" t="s">
        <v>438</v>
      </c>
      <c r="C82" s="105">
        <v>19000.0</v>
      </c>
      <c r="D82" s="7">
        <f t="shared" si="2"/>
        <v>11400</v>
      </c>
      <c r="E82" s="7">
        <f t="shared" ref="E82:F82" si="84">if($D82&lt;15000,$D82*12/100,15000*12/100)</f>
        <v>1368</v>
      </c>
      <c r="F82" s="7">
        <f t="shared" si="84"/>
        <v>1368</v>
      </c>
      <c r="G82" s="7">
        <f t="shared" si="4"/>
        <v>2736</v>
      </c>
      <c r="I82" s="106"/>
      <c r="J82" s="107"/>
    </row>
    <row r="83">
      <c r="A83" s="8">
        <f t="shared" si="5"/>
        <v>82</v>
      </c>
      <c r="B83" s="40" t="s">
        <v>439</v>
      </c>
      <c r="C83" s="105">
        <v>25000.0</v>
      </c>
      <c r="D83" s="7">
        <f t="shared" si="2"/>
        <v>15000</v>
      </c>
      <c r="E83" s="7">
        <f t="shared" ref="E83:F83" si="85">if($D83&lt;15000,$D83*12/100,15000*12/100)</f>
        <v>1800</v>
      </c>
      <c r="F83" s="7">
        <f t="shared" si="85"/>
        <v>1800</v>
      </c>
      <c r="G83" s="7">
        <f t="shared" si="4"/>
        <v>3600</v>
      </c>
      <c r="I83" s="106"/>
      <c r="J83" s="107"/>
    </row>
    <row r="84">
      <c r="A84" s="8">
        <f t="shared" si="5"/>
        <v>83</v>
      </c>
      <c r="B84" s="40" t="s">
        <v>466</v>
      </c>
      <c r="C84" s="105">
        <v>23226.0</v>
      </c>
      <c r="D84" s="7">
        <f t="shared" si="2"/>
        <v>13935.6</v>
      </c>
      <c r="E84" s="7">
        <f t="shared" ref="E84:F84" si="86">if($D84&lt;15000,$D84*12/100,15000*12/100)</f>
        <v>1672.272</v>
      </c>
      <c r="F84" s="7">
        <f t="shared" si="86"/>
        <v>1672.272</v>
      </c>
      <c r="G84" s="7">
        <f t="shared" si="4"/>
        <v>3344.544</v>
      </c>
      <c r="I84" s="106"/>
      <c r="J84" s="106"/>
    </row>
    <row r="85">
      <c r="A85" s="8">
        <f t="shared" si="5"/>
        <v>84</v>
      </c>
      <c r="B85" s="30" t="s">
        <v>440</v>
      </c>
      <c r="C85" s="105">
        <v>29194.0</v>
      </c>
      <c r="D85" s="7">
        <f t="shared" si="2"/>
        <v>17516.4</v>
      </c>
      <c r="E85" s="7">
        <f t="shared" ref="E85:F85" si="87">if($D85&lt;15000,$D85*12/100,15000*12/100)</f>
        <v>1800</v>
      </c>
      <c r="F85" s="7">
        <f t="shared" si="87"/>
        <v>1800</v>
      </c>
      <c r="G85" s="7">
        <f t="shared" si="4"/>
        <v>3600</v>
      </c>
      <c r="I85" s="106"/>
      <c r="J85" s="106"/>
    </row>
    <row r="86">
      <c r="A86" s="8">
        <f t="shared" si="5"/>
        <v>85</v>
      </c>
      <c r="B86" s="30" t="s">
        <v>441</v>
      </c>
      <c r="C86" s="105">
        <v>30000.0</v>
      </c>
      <c r="D86" s="7">
        <f t="shared" si="2"/>
        <v>18000</v>
      </c>
      <c r="E86" s="7">
        <f t="shared" ref="E86:F86" si="88">if($D86&lt;15000,$D86*12/100,15000*12/100)</f>
        <v>1800</v>
      </c>
      <c r="F86" s="7">
        <f t="shared" si="88"/>
        <v>1800</v>
      </c>
      <c r="G86" s="7">
        <f t="shared" si="4"/>
        <v>3600</v>
      </c>
      <c r="I86" s="106"/>
      <c r="J86" s="107"/>
    </row>
    <row r="87">
      <c r="A87" s="8">
        <f t="shared" si="5"/>
        <v>86</v>
      </c>
      <c r="B87" s="40" t="s">
        <v>467</v>
      </c>
      <c r="C87" s="105">
        <v>17129.0</v>
      </c>
      <c r="D87" s="7">
        <f t="shared" si="2"/>
        <v>10277.4</v>
      </c>
      <c r="E87" s="7">
        <f t="shared" ref="E87:F87" si="89">if($D87&lt;15000,$D87*12/100,15000*12/100)</f>
        <v>1233.288</v>
      </c>
      <c r="F87" s="7">
        <f t="shared" si="89"/>
        <v>1233.288</v>
      </c>
      <c r="G87" s="7">
        <f t="shared" si="4"/>
        <v>2466.576</v>
      </c>
      <c r="I87" s="106"/>
      <c r="J87" s="106"/>
    </row>
    <row r="88">
      <c r="A88" s="8">
        <f t="shared" si="5"/>
        <v>87</v>
      </c>
      <c r="B88" s="40" t="s">
        <v>474</v>
      </c>
      <c r="C88" s="105">
        <v>18000.0</v>
      </c>
      <c r="D88" s="7">
        <f t="shared" si="2"/>
        <v>10800</v>
      </c>
      <c r="E88" s="7">
        <f t="shared" ref="E88:F88" si="90">if($D88&lt;15000,$D88*12/100,15000*12/100)</f>
        <v>1296</v>
      </c>
      <c r="F88" s="7">
        <f t="shared" si="90"/>
        <v>1296</v>
      </c>
      <c r="G88" s="7">
        <f t="shared" si="4"/>
        <v>2592</v>
      </c>
      <c r="I88" s="106"/>
      <c r="J88" s="107"/>
    </row>
    <row r="89">
      <c r="A89" s="8">
        <f t="shared" si="5"/>
        <v>88</v>
      </c>
      <c r="B89" s="40" t="s">
        <v>475</v>
      </c>
      <c r="C89" s="105">
        <v>28000.0</v>
      </c>
      <c r="D89" s="7">
        <f t="shared" si="2"/>
        <v>16800</v>
      </c>
      <c r="E89" s="7">
        <f t="shared" ref="E89:F89" si="91">if($D89&lt;15000,$D89*12/100,15000*12/100)</f>
        <v>1800</v>
      </c>
      <c r="F89" s="7">
        <f t="shared" si="91"/>
        <v>1800</v>
      </c>
      <c r="G89" s="7">
        <f t="shared" si="4"/>
        <v>3600</v>
      </c>
      <c r="I89" s="106"/>
      <c r="J89" s="107"/>
    </row>
    <row r="90">
      <c r="A90" s="8">
        <f t="shared" si="5"/>
        <v>89</v>
      </c>
      <c r="B90" s="40" t="s">
        <v>481</v>
      </c>
      <c r="C90" s="105">
        <v>18000.0</v>
      </c>
      <c r="D90" s="7">
        <f t="shared" si="2"/>
        <v>10800</v>
      </c>
      <c r="E90" s="7">
        <f t="shared" ref="E90:F90" si="92">if($D90&lt;15000,$D90*12/100,15000*12/100)</f>
        <v>1296</v>
      </c>
      <c r="F90" s="7">
        <f t="shared" si="92"/>
        <v>1296</v>
      </c>
      <c r="G90" s="7">
        <f t="shared" si="4"/>
        <v>2592</v>
      </c>
      <c r="I90" s="106"/>
      <c r="J90" s="107"/>
    </row>
    <row r="91">
      <c r="A91" s="8">
        <f t="shared" si="5"/>
        <v>90</v>
      </c>
      <c r="B91" s="40" t="s">
        <v>483</v>
      </c>
      <c r="C91" s="105">
        <v>9871.0</v>
      </c>
      <c r="D91" s="7">
        <f t="shared" si="2"/>
        <v>5922.6</v>
      </c>
      <c r="E91" s="7">
        <f t="shared" ref="E91:F91" si="93">if($D91&lt;15000,$D91*12/100,15000*12/100)</f>
        <v>710.712</v>
      </c>
      <c r="F91" s="7">
        <f t="shared" si="93"/>
        <v>710.712</v>
      </c>
      <c r="G91" s="7">
        <f t="shared" si="4"/>
        <v>1421.424</v>
      </c>
      <c r="I91" s="106"/>
      <c r="J91" s="106"/>
    </row>
    <row r="92">
      <c r="A92" s="8">
        <f t="shared" si="5"/>
        <v>91</v>
      </c>
      <c r="B92" s="40" t="s">
        <v>484</v>
      </c>
      <c r="C92" s="105">
        <v>8129.0</v>
      </c>
      <c r="D92" s="7">
        <f t="shared" si="2"/>
        <v>4877.4</v>
      </c>
      <c r="E92" s="7">
        <f t="shared" ref="E92:F92" si="94">if($D92&lt;15000,$D92*12/100,15000*12/100)</f>
        <v>585.288</v>
      </c>
      <c r="F92" s="7">
        <f t="shared" si="94"/>
        <v>585.288</v>
      </c>
      <c r="G92" s="7">
        <f t="shared" si="4"/>
        <v>1170.576</v>
      </c>
      <c r="I92" s="106"/>
      <c r="J92" s="106"/>
    </row>
    <row r="93">
      <c r="A93" s="9" t="s">
        <v>34</v>
      </c>
      <c r="B93" s="10"/>
      <c r="C93" s="11">
        <f t="shared" ref="C93:G93" si="95">sum(C2:C92)</f>
        <v>2157244</v>
      </c>
      <c r="D93" s="11">
        <f t="shared" si="95"/>
        <v>1294346.4</v>
      </c>
      <c r="E93" s="11">
        <f t="shared" si="95"/>
        <v>131858.856</v>
      </c>
      <c r="F93" s="11">
        <f t="shared" si="95"/>
        <v>131858.856</v>
      </c>
      <c r="G93" s="11">
        <f t="shared" si="95"/>
        <v>263717.712</v>
      </c>
    </row>
  </sheetData>
  <mergeCells count="1">
    <mergeCell ref="A93:B93"/>
  </mergeCells>
  <hyperlinks>
    <hyperlink r:id="rId1" ref="A1"/>
  </hyperlin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</cols>
  <sheetData>
    <row r="1">
      <c r="A1" s="1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5">
        <f>1</f>
        <v>1</v>
      </c>
      <c r="B2" s="46" t="s">
        <v>476</v>
      </c>
      <c r="C2" s="105">
        <v>81000.0</v>
      </c>
      <c r="D2" s="7">
        <f t="shared" ref="D2:D91" si="2">C2*60/100</f>
        <v>48600</v>
      </c>
      <c r="E2" s="7">
        <f t="shared" ref="E2:F2" si="1">if($D2&lt;15000,$D2*12/100,15000*12/100)</f>
        <v>1800</v>
      </c>
      <c r="F2" s="7">
        <f t="shared" si="1"/>
        <v>1800</v>
      </c>
      <c r="G2" s="7">
        <f t="shared" ref="G2:G91" si="4">E2+F2</f>
        <v>3600</v>
      </c>
      <c r="I2" s="106"/>
      <c r="J2" s="107"/>
    </row>
    <row r="3">
      <c r="A3" s="8">
        <f t="shared" ref="A3:A91" si="5">A2+1</f>
        <v>2</v>
      </c>
      <c r="B3" s="46" t="s">
        <v>195</v>
      </c>
      <c r="C3" s="105">
        <v>57097.0</v>
      </c>
      <c r="D3" s="7">
        <f t="shared" si="2"/>
        <v>34258.2</v>
      </c>
      <c r="E3" s="7">
        <f t="shared" ref="E3:F3" si="3">if($D3&lt;15000,$D3*12/100,15000*12/100)</f>
        <v>1800</v>
      </c>
      <c r="F3" s="7">
        <f t="shared" si="3"/>
        <v>1800</v>
      </c>
      <c r="G3" s="7">
        <f t="shared" si="4"/>
        <v>3600</v>
      </c>
      <c r="I3" s="106"/>
      <c r="J3" s="106"/>
    </row>
    <row r="4">
      <c r="A4" s="8">
        <f t="shared" si="5"/>
        <v>3</v>
      </c>
      <c r="B4" s="46" t="s">
        <v>480</v>
      </c>
      <c r="C4" s="105">
        <v>38710.0</v>
      </c>
      <c r="D4" s="7">
        <f t="shared" si="2"/>
        <v>23226</v>
      </c>
      <c r="E4" s="7">
        <f t="shared" ref="E4:F4" si="6">if($D4&lt;15000,$D4*12/100,15000*12/100)</f>
        <v>1800</v>
      </c>
      <c r="F4" s="7">
        <f t="shared" si="6"/>
        <v>1800</v>
      </c>
      <c r="G4" s="7">
        <f t="shared" si="4"/>
        <v>3600</v>
      </c>
      <c r="I4" s="106"/>
      <c r="J4" s="106"/>
    </row>
    <row r="5">
      <c r="A5" s="8">
        <f t="shared" si="5"/>
        <v>4</v>
      </c>
      <c r="B5" s="46" t="s">
        <v>203</v>
      </c>
      <c r="C5" s="105">
        <v>43000.0</v>
      </c>
      <c r="D5" s="7">
        <f t="shared" si="2"/>
        <v>25800</v>
      </c>
      <c r="E5" s="7">
        <f t="shared" ref="E5:F5" si="7">if($D5&lt;15000,$D5*12/100,15000*12/100)</f>
        <v>1800</v>
      </c>
      <c r="F5" s="7">
        <f t="shared" si="7"/>
        <v>1800</v>
      </c>
      <c r="G5" s="7">
        <f t="shared" si="4"/>
        <v>3600</v>
      </c>
      <c r="I5" s="106"/>
      <c r="J5" s="107"/>
    </row>
    <row r="6">
      <c r="A6" s="8">
        <f t="shared" si="5"/>
        <v>5</v>
      </c>
      <c r="B6" s="46" t="s">
        <v>200</v>
      </c>
      <c r="C6" s="105">
        <v>33548.0</v>
      </c>
      <c r="D6" s="7">
        <f t="shared" si="2"/>
        <v>20128.8</v>
      </c>
      <c r="E6" s="7">
        <f t="shared" ref="E6:F6" si="8">if($D6&lt;15000,$D6*12/100,15000*12/100)</f>
        <v>1800</v>
      </c>
      <c r="F6" s="7">
        <f t="shared" si="8"/>
        <v>1800</v>
      </c>
      <c r="G6" s="7">
        <f t="shared" si="4"/>
        <v>3600</v>
      </c>
      <c r="I6" s="106"/>
      <c r="J6" s="106"/>
    </row>
    <row r="7">
      <c r="A7" s="8">
        <f t="shared" si="5"/>
        <v>6</v>
      </c>
      <c r="B7" s="46" t="s">
        <v>382</v>
      </c>
      <c r="C7" s="105">
        <v>21371.0</v>
      </c>
      <c r="D7" s="7">
        <f t="shared" si="2"/>
        <v>12822.6</v>
      </c>
      <c r="E7" s="7">
        <f t="shared" ref="E7:F7" si="9">if($D7&lt;15000,$D7*12/100,15000*12/100)</f>
        <v>1538.712</v>
      </c>
      <c r="F7" s="7">
        <f t="shared" si="9"/>
        <v>1538.712</v>
      </c>
      <c r="G7" s="7">
        <f t="shared" si="4"/>
        <v>3077.424</v>
      </c>
      <c r="I7" s="106"/>
      <c r="J7" s="106"/>
    </row>
    <row r="8">
      <c r="A8" s="8">
        <f t="shared" si="5"/>
        <v>7</v>
      </c>
      <c r="B8" s="46" t="s">
        <v>231</v>
      </c>
      <c r="C8" s="105">
        <v>24323.0</v>
      </c>
      <c r="D8" s="7">
        <f t="shared" si="2"/>
        <v>14593.8</v>
      </c>
      <c r="E8" s="7">
        <f t="shared" ref="E8:F8" si="10">if($D8&lt;15000,$D8*12/100,15000*12/100)</f>
        <v>1751.256</v>
      </c>
      <c r="F8" s="7">
        <f t="shared" si="10"/>
        <v>1751.256</v>
      </c>
      <c r="G8" s="7">
        <f t="shared" si="4"/>
        <v>3502.512</v>
      </c>
      <c r="I8" s="106"/>
      <c r="J8" s="106"/>
    </row>
    <row r="9">
      <c r="A9" s="8">
        <f t="shared" si="5"/>
        <v>8</v>
      </c>
      <c r="B9" s="46" t="s">
        <v>236</v>
      </c>
      <c r="C9" s="105">
        <v>23613.0</v>
      </c>
      <c r="D9" s="7">
        <f t="shared" si="2"/>
        <v>14167.8</v>
      </c>
      <c r="E9" s="7">
        <f t="shared" ref="E9:F9" si="11">if($D9&lt;15000,$D9*12/100,15000*12/100)</f>
        <v>1700.136</v>
      </c>
      <c r="F9" s="7">
        <f t="shared" si="11"/>
        <v>1700.136</v>
      </c>
      <c r="G9" s="7">
        <f t="shared" si="4"/>
        <v>3400.272</v>
      </c>
      <c r="I9" s="106"/>
      <c r="J9" s="106"/>
    </row>
    <row r="10">
      <c r="A10" s="8">
        <f t="shared" si="5"/>
        <v>9</v>
      </c>
      <c r="B10" s="46" t="s">
        <v>221</v>
      </c>
      <c r="C10" s="105">
        <v>24823.0</v>
      </c>
      <c r="D10" s="7">
        <f t="shared" si="2"/>
        <v>14893.8</v>
      </c>
      <c r="E10" s="7">
        <f t="shared" ref="E10:F10" si="12">if($D10&lt;15000,$D10*12/100,15000*12/100)</f>
        <v>1787.256</v>
      </c>
      <c r="F10" s="7">
        <f t="shared" si="12"/>
        <v>1787.256</v>
      </c>
      <c r="G10" s="7">
        <f t="shared" si="4"/>
        <v>3574.512</v>
      </c>
      <c r="I10" s="106"/>
      <c r="J10" s="106"/>
    </row>
    <row r="11">
      <c r="A11" s="8">
        <f t="shared" si="5"/>
        <v>10</v>
      </c>
      <c r="B11" s="46" t="s">
        <v>201</v>
      </c>
      <c r="C11" s="105">
        <v>30000.0</v>
      </c>
      <c r="D11" s="7">
        <f t="shared" si="2"/>
        <v>18000</v>
      </c>
      <c r="E11" s="7">
        <f t="shared" ref="E11:F11" si="13">if($D11&lt;15000,$D11*12/100,15000*12/100)</f>
        <v>1800</v>
      </c>
      <c r="F11" s="7">
        <f t="shared" si="13"/>
        <v>1800</v>
      </c>
      <c r="G11" s="7">
        <f t="shared" si="4"/>
        <v>3600</v>
      </c>
      <c r="I11" s="106"/>
      <c r="J11" s="107"/>
    </row>
    <row r="12">
      <c r="A12" s="8">
        <f t="shared" si="5"/>
        <v>11</v>
      </c>
      <c r="B12" s="46" t="s">
        <v>213</v>
      </c>
      <c r="C12" s="105">
        <v>26000.0</v>
      </c>
      <c r="D12" s="7">
        <f t="shared" si="2"/>
        <v>15600</v>
      </c>
      <c r="E12" s="7">
        <f t="shared" ref="E12:F12" si="14">if($D12&lt;15000,$D12*12/100,15000*12/100)</f>
        <v>1800</v>
      </c>
      <c r="F12" s="7">
        <f t="shared" si="14"/>
        <v>1800</v>
      </c>
      <c r="G12" s="7">
        <f t="shared" si="4"/>
        <v>3600</v>
      </c>
      <c r="I12" s="106"/>
      <c r="J12" s="107"/>
    </row>
    <row r="13">
      <c r="A13" s="8">
        <f t="shared" si="5"/>
        <v>12</v>
      </c>
      <c r="B13" s="46" t="s">
        <v>208</v>
      </c>
      <c r="C13" s="105">
        <v>33000.0</v>
      </c>
      <c r="D13" s="7">
        <f t="shared" si="2"/>
        <v>19800</v>
      </c>
      <c r="E13" s="7">
        <f t="shared" ref="E13:F13" si="15">if($D13&lt;15000,$D13*12/100,15000*12/100)</f>
        <v>1800</v>
      </c>
      <c r="F13" s="7">
        <f t="shared" si="15"/>
        <v>1800</v>
      </c>
      <c r="G13" s="7">
        <f t="shared" si="4"/>
        <v>3600</v>
      </c>
      <c r="I13" s="106"/>
      <c r="J13" s="107"/>
    </row>
    <row r="14">
      <c r="A14" s="8">
        <f t="shared" si="5"/>
        <v>13</v>
      </c>
      <c r="B14" s="26" t="s">
        <v>248</v>
      </c>
      <c r="C14" s="105">
        <v>30968.0</v>
      </c>
      <c r="D14" s="7">
        <f t="shared" si="2"/>
        <v>18580.8</v>
      </c>
      <c r="E14" s="7">
        <f t="shared" ref="E14:F14" si="16">if($D14&lt;15000,$D14*12/100,15000*12/100)</f>
        <v>1800</v>
      </c>
      <c r="F14" s="7">
        <f t="shared" si="16"/>
        <v>1800</v>
      </c>
      <c r="G14" s="7">
        <f t="shared" si="4"/>
        <v>3600</v>
      </c>
      <c r="I14" s="106"/>
      <c r="J14" s="106"/>
    </row>
    <row r="15">
      <c r="A15" s="8">
        <f t="shared" si="5"/>
        <v>14</v>
      </c>
      <c r="B15" s="46" t="s">
        <v>202</v>
      </c>
      <c r="C15" s="105">
        <v>29000.0</v>
      </c>
      <c r="D15" s="7">
        <f t="shared" si="2"/>
        <v>17400</v>
      </c>
      <c r="E15" s="7">
        <f t="shared" ref="E15:F15" si="17">if($D15&lt;15000,$D15*12/100,15000*12/100)</f>
        <v>1800</v>
      </c>
      <c r="F15" s="7">
        <f t="shared" si="17"/>
        <v>1800</v>
      </c>
      <c r="G15" s="7">
        <f t="shared" si="4"/>
        <v>3600</v>
      </c>
      <c r="I15" s="106"/>
      <c r="J15" s="107"/>
    </row>
    <row r="16">
      <c r="A16" s="8">
        <f t="shared" si="5"/>
        <v>15</v>
      </c>
      <c r="B16" s="46" t="s">
        <v>209</v>
      </c>
      <c r="C16" s="105">
        <v>32000.0</v>
      </c>
      <c r="D16" s="7">
        <f t="shared" si="2"/>
        <v>19200</v>
      </c>
      <c r="E16" s="7">
        <f t="shared" ref="E16:F16" si="18">if($D16&lt;15000,$D16*12/100,15000*12/100)</f>
        <v>1800</v>
      </c>
      <c r="F16" s="7">
        <f t="shared" si="18"/>
        <v>1800</v>
      </c>
      <c r="G16" s="7">
        <f t="shared" si="4"/>
        <v>3600</v>
      </c>
      <c r="I16" s="106"/>
      <c r="J16" s="107"/>
    </row>
    <row r="17">
      <c r="A17" s="8">
        <f t="shared" si="5"/>
        <v>16</v>
      </c>
      <c r="B17" s="46" t="s">
        <v>214</v>
      </c>
      <c r="C17" s="105">
        <v>28000.0</v>
      </c>
      <c r="D17" s="7">
        <f t="shared" si="2"/>
        <v>16800</v>
      </c>
      <c r="E17" s="7">
        <f t="shared" ref="E17:F17" si="19">if($D17&lt;15000,$D17*12/100,15000*12/100)</f>
        <v>1800</v>
      </c>
      <c r="F17" s="7">
        <f t="shared" si="19"/>
        <v>1800</v>
      </c>
      <c r="G17" s="7">
        <f t="shared" si="4"/>
        <v>3600</v>
      </c>
      <c r="I17" s="106"/>
      <c r="J17" s="107"/>
    </row>
    <row r="18">
      <c r="A18" s="8">
        <f t="shared" si="5"/>
        <v>17</v>
      </c>
      <c r="B18" s="46" t="s">
        <v>206</v>
      </c>
      <c r="C18" s="105">
        <v>22129.0</v>
      </c>
      <c r="D18" s="7">
        <f t="shared" si="2"/>
        <v>13277.4</v>
      </c>
      <c r="E18" s="7">
        <f t="shared" ref="E18:F18" si="20">if($D18&lt;15000,$D18*12/100,15000*12/100)</f>
        <v>1593.288</v>
      </c>
      <c r="F18" s="7">
        <f t="shared" si="20"/>
        <v>1593.288</v>
      </c>
      <c r="G18" s="7">
        <f t="shared" si="4"/>
        <v>3186.576</v>
      </c>
      <c r="I18" s="106"/>
      <c r="J18" s="106"/>
    </row>
    <row r="19">
      <c r="A19" s="8">
        <f t="shared" si="5"/>
        <v>18</v>
      </c>
      <c r="B19" s="46" t="s">
        <v>414</v>
      </c>
      <c r="C19" s="105">
        <v>23000.0</v>
      </c>
      <c r="D19" s="7">
        <f t="shared" si="2"/>
        <v>13800</v>
      </c>
      <c r="E19" s="7">
        <f t="shared" ref="E19:F19" si="21">if($D19&lt;15000,$D19*12/100,15000*12/100)</f>
        <v>1656</v>
      </c>
      <c r="F19" s="7">
        <f t="shared" si="21"/>
        <v>1656</v>
      </c>
      <c r="G19" s="7">
        <f t="shared" si="4"/>
        <v>3312</v>
      </c>
      <c r="I19" s="106"/>
      <c r="J19" s="107"/>
    </row>
    <row r="20">
      <c r="A20" s="8">
        <f t="shared" si="5"/>
        <v>19</v>
      </c>
      <c r="B20" s="46" t="s">
        <v>210</v>
      </c>
      <c r="C20" s="105">
        <v>28210.0</v>
      </c>
      <c r="D20" s="7">
        <f t="shared" si="2"/>
        <v>16926</v>
      </c>
      <c r="E20" s="7">
        <f t="shared" ref="E20:F20" si="22">if($D20&lt;15000,$D20*12/100,15000*12/100)</f>
        <v>1800</v>
      </c>
      <c r="F20" s="7">
        <f t="shared" si="22"/>
        <v>1800</v>
      </c>
      <c r="G20" s="7">
        <f t="shared" si="4"/>
        <v>3600</v>
      </c>
      <c r="I20" s="106"/>
      <c r="J20" s="106"/>
    </row>
    <row r="21">
      <c r="A21" s="8">
        <f t="shared" si="5"/>
        <v>20</v>
      </c>
      <c r="B21" s="46" t="s">
        <v>442</v>
      </c>
      <c r="C21" s="105">
        <v>32500.0</v>
      </c>
      <c r="D21" s="7">
        <f t="shared" si="2"/>
        <v>19500</v>
      </c>
      <c r="E21" s="7">
        <f t="shared" ref="E21:F21" si="23">if($D21&lt;15000,$D21*12/100,15000*12/100)</f>
        <v>1800</v>
      </c>
      <c r="F21" s="7">
        <f t="shared" si="23"/>
        <v>1800</v>
      </c>
      <c r="G21" s="7">
        <f t="shared" si="4"/>
        <v>3600</v>
      </c>
      <c r="I21" s="106"/>
      <c r="J21" s="107"/>
    </row>
    <row r="22">
      <c r="A22" s="8">
        <f t="shared" si="5"/>
        <v>21</v>
      </c>
      <c r="B22" s="46" t="s">
        <v>212</v>
      </c>
      <c r="C22" s="105">
        <v>28500.0</v>
      </c>
      <c r="D22" s="7">
        <f t="shared" si="2"/>
        <v>17100</v>
      </c>
      <c r="E22" s="7">
        <f t="shared" ref="E22:F22" si="24">if($D22&lt;15000,$D22*12/100,15000*12/100)</f>
        <v>1800</v>
      </c>
      <c r="F22" s="7">
        <f t="shared" si="24"/>
        <v>1800</v>
      </c>
      <c r="G22" s="7">
        <f t="shared" si="4"/>
        <v>3600</v>
      </c>
      <c r="I22" s="106"/>
      <c r="J22" s="107"/>
    </row>
    <row r="23">
      <c r="A23" s="8">
        <f t="shared" si="5"/>
        <v>22</v>
      </c>
      <c r="B23" s="46" t="s">
        <v>252</v>
      </c>
      <c r="C23" s="105">
        <v>23000.0</v>
      </c>
      <c r="D23" s="7">
        <f t="shared" si="2"/>
        <v>13800</v>
      </c>
      <c r="E23" s="7">
        <f t="shared" ref="E23:F23" si="25">if($D23&lt;15000,$D23*12/100,15000*12/100)</f>
        <v>1656</v>
      </c>
      <c r="F23" s="7">
        <f t="shared" si="25"/>
        <v>1656</v>
      </c>
      <c r="G23" s="7">
        <f t="shared" si="4"/>
        <v>3312</v>
      </c>
      <c r="I23" s="106"/>
      <c r="J23" s="107"/>
    </row>
    <row r="24">
      <c r="A24" s="8">
        <f t="shared" si="5"/>
        <v>23</v>
      </c>
      <c r="B24" s="46" t="s">
        <v>249</v>
      </c>
      <c r="C24" s="105">
        <v>18000.0</v>
      </c>
      <c r="D24" s="7">
        <f t="shared" si="2"/>
        <v>10800</v>
      </c>
      <c r="E24" s="7">
        <f t="shared" ref="E24:F24" si="26">if($D24&lt;15000,$D24*12/100,15000*12/100)</f>
        <v>1296</v>
      </c>
      <c r="F24" s="7">
        <f t="shared" si="26"/>
        <v>1296</v>
      </c>
      <c r="G24" s="7">
        <f t="shared" si="4"/>
        <v>2592</v>
      </c>
      <c r="I24" s="106"/>
      <c r="J24" s="107"/>
    </row>
    <row r="25">
      <c r="A25" s="8">
        <f t="shared" si="5"/>
        <v>24</v>
      </c>
      <c r="B25" s="46" t="s">
        <v>223</v>
      </c>
      <c r="C25" s="105">
        <v>25000.0</v>
      </c>
      <c r="D25" s="7">
        <f t="shared" si="2"/>
        <v>15000</v>
      </c>
      <c r="E25" s="7">
        <f t="shared" ref="E25:F25" si="27">if($D25&lt;15000,$D25*12/100,15000*12/100)</f>
        <v>1800</v>
      </c>
      <c r="F25" s="7">
        <f t="shared" si="27"/>
        <v>1800</v>
      </c>
      <c r="G25" s="7">
        <f t="shared" si="4"/>
        <v>3600</v>
      </c>
      <c r="I25" s="106"/>
      <c r="J25" s="107"/>
    </row>
    <row r="26">
      <c r="A26" s="8">
        <f t="shared" si="5"/>
        <v>25</v>
      </c>
      <c r="B26" s="46" t="s">
        <v>416</v>
      </c>
      <c r="C26" s="105">
        <v>30000.0</v>
      </c>
      <c r="D26" s="7">
        <f t="shared" si="2"/>
        <v>18000</v>
      </c>
      <c r="E26" s="7">
        <f t="shared" ref="E26:F26" si="28">if($D26&lt;15000,$D26*12/100,15000*12/100)</f>
        <v>1800</v>
      </c>
      <c r="F26" s="7">
        <f t="shared" si="28"/>
        <v>1800</v>
      </c>
      <c r="G26" s="7">
        <f t="shared" si="4"/>
        <v>3600</v>
      </c>
      <c r="I26" s="106"/>
      <c r="J26" s="107"/>
    </row>
    <row r="27">
      <c r="A27" s="8">
        <f t="shared" si="5"/>
        <v>26</v>
      </c>
      <c r="B27" s="46" t="s">
        <v>417</v>
      </c>
      <c r="C27" s="105">
        <v>24597.0</v>
      </c>
      <c r="D27" s="7">
        <f t="shared" si="2"/>
        <v>14758.2</v>
      </c>
      <c r="E27" s="7">
        <f t="shared" ref="E27:F27" si="29">if($D27&lt;15000,$D27*12/100,15000*12/100)</f>
        <v>1770.984</v>
      </c>
      <c r="F27" s="7">
        <f t="shared" si="29"/>
        <v>1770.984</v>
      </c>
      <c r="G27" s="7">
        <f t="shared" si="4"/>
        <v>3541.968</v>
      </c>
      <c r="I27" s="106"/>
      <c r="J27" s="106"/>
    </row>
    <row r="28">
      <c r="A28" s="8">
        <f t="shared" si="5"/>
        <v>27</v>
      </c>
      <c r="B28" s="46" t="s">
        <v>485</v>
      </c>
      <c r="C28" s="105">
        <v>27000.0</v>
      </c>
      <c r="D28" s="7">
        <f t="shared" si="2"/>
        <v>16200</v>
      </c>
      <c r="E28" s="7">
        <f t="shared" ref="E28:F28" si="30">if($D28&lt;15000,$D28*12/100,15000*12/100)</f>
        <v>1800</v>
      </c>
      <c r="F28" s="7">
        <f t="shared" si="30"/>
        <v>1800</v>
      </c>
      <c r="G28" s="7">
        <f t="shared" si="4"/>
        <v>3600</v>
      </c>
      <c r="I28" s="106"/>
      <c r="J28" s="107"/>
    </row>
    <row r="29">
      <c r="A29" s="8">
        <f t="shared" si="5"/>
        <v>28</v>
      </c>
      <c r="B29" s="46" t="s">
        <v>277</v>
      </c>
      <c r="C29" s="105">
        <v>16000.0</v>
      </c>
      <c r="D29" s="7">
        <f t="shared" si="2"/>
        <v>9600</v>
      </c>
      <c r="E29" s="7">
        <f t="shared" ref="E29:F29" si="31">if($D29&lt;15000,$D29*12/100,15000*12/100)</f>
        <v>1152</v>
      </c>
      <c r="F29" s="7">
        <f t="shared" si="31"/>
        <v>1152</v>
      </c>
      <c r="G29" s="7">
        <f t="shared" si="4"/>
        <v>2304</v>
      </c>
      <c r="I29" s="106"/>
      <c r="J29" s="107"/>
    </row>
    <row r="30">
      <c r="A30" s="8">
        <f t="shared" si="5"/>
        <v>29</v>
      </c>
      <c r="B30" s="46" t="s">
        <v>258</v>
      </c>
      <c r="C30" s="105">
        <v>19355.0</v>
      </c>
      <c r="D30" s="7">
        <f t="shared" si="2"/>
        <v>11613</v>
      </c>
      <c r="E30" s="7">
        <f t="shared" ref="E30:F30" si="32">if($D30&lt;15000,$D30*12/100,15000*12/100)</f>
        <v>1393.56</v>
      </c>
      <c r="F30" s="7">
        <f t="shared" si="32"/>
        <v>1393.56</v>
      </c>
      <c r="G30" s="7">
        <f t="shared" si="4"/>
        <v>2787.12</v>
      </c>
      <c r="I30" s="106"/>
      <c r="J30" s="106"/>
    </row>
    <row r="31">
      <c r="A31" s="8">
        <f t="shared" si="5"/>
        <v>30</v>
      </c>
      <c r="B31" s="46" t="s">
        <v>279</v>
      </c>
      <c r="C31" s="105">
        <v>23613.0</v>
      </c>
      <c r="D31" s="7">
        <f t="shared" si="2"/>
        <v>14167.8</v>
      </c>
      <c r="E31" s="7">
        <f t="shared" ref="E31:F31" si="33">if($D31&lt;15000,$D31*12/100,15000*12/100)</f>
        <v>1700.136</v>
      </c>
      <c r="F31" s="7">
        <f t="shared" si="33"/>
        <v>1700.136</v>
      </c>
      <c r="G31" s="7">
        <f t="shared" si="4"/>
        <v>3400.272</v>
      </c>
      <c r="I31" s="106"/>
      <c r="J31" s="106"/>
    </row>
    <row r="32">
      <c r="A32" s="8">
        <f t="shared" si="5"/>
        <v>31</v>
      </c>
      <c r="B32" s="26" t="s">
        <v>217</v>
      </c>
      <c r="C32" s="105">
        <v>21887.0</v>
      </c>
      <c r="D32" s="7">
        <f t="shared" si="2"/>
        <v>13132.2</v>
      </c>
      <c r="E32" s="7">
        <f t="shared" ref="E32:F32" si="34">if($D32&lt;15000,$D32*12/100,15000*12/100)</f>
        <v>1575.864</v>
      </c>
      <c r="F32" s="7">
        <f t="shared" si="34"/>
        <v>1575.864</v>
      </c>
      <c r="G32" s="7">
        <f t="shared" si="4"/>
        <v>3151.728</v>
      </c>
      <c r="I32" s="106"/>
      <c r="J32" s="106"/>
    </row>
    <row r="33">
      <c r="A33" s="8">
        <f t="shared" si="5"/>
        <v>32</v>
      </c>
      <c r="B33" s="46" t="s">
        <v>245</v>
      </c>
      <c r="C33" s="105">
        <v>17710.0</v>
      </c>
      <c r="D33" s="7">
        <f t="shared" si="2"/>
        <v>10626</v>
      </c>
      <c r="E33" s="7">
        <f t="shared" ref="E33:F33" si="35">if($D33&lt;15000,$D33*12/100,15000*12/100)</f>
        <v>1275.12</v>
      </c>
      <c r="F33" s="7">
        <f t="shared" si="35"/>
        <v>1275.12</v>
      </c>
      <c r="G33" s="7">
        <f t="shared" si="4"/>
        <v>2550.24</v>
      </c>
      <c r="I33" s="106"/>
      <c r="J33" s="106"/>
    </row>
    <row r="34">
      <c r="A34" s="8">
        <f t="shared" si="5"/>
        <v>33</v>
      </c>
      <c r="B34" s="46" t="s">
        <v>244</v>
      </c>
      <c r="C34" s="105">
        <v>20000.0</v>
      </c>
      <c r="D34" s="7">
        <f t="shared" si="2"/>
        <v>12000</v>
      </c>
      <c r="E34" s="7">
        <f t="shared" ref="E34:F34" si="36">if($D34&lt;15000,$D34*12/100,15000*12/100)</f>
        <v>1440</v>
      </c>
      <c r="F34" s="7">
        <f t="shared" si="36"/>
        <v>1440</v>
      </c>
      <c r="G34" s="7">
        <f t="shared" si="4"/>
        <v>2880</v>
      </c>
      <c r="I34" s="106"/>
      <c r="J34" s="107"/>
    </row>
    <row r="35">
      <c r="A35" s="8">
        <f t="shared" si="5"/>
        <v>34</v>
      </c>
      <c r="B35" s="46" t="s">
        <v>228</v>
      </c>
      <c r="C35" s="105">
        <v>18000.0</v>
      </c>
      <c r="D35" s="7">
        <f t="shared" si="2"/>
        <v>10800</v>
      </c>
      <c r="E35" s="7">
        <f t="shared" ref="E35:F35" si="37">if($D35&lt;15000,$D35*12/100,15000*12/100)</f>
        <v>1296</v>
      </c>
      <c r="F35" s="7">
        <f t="shared" si="37"/>
        <v>1296</v>
      </c>
      <c r="G35" s="7">
        <f t="shared" si="4"/>
        <v>2592</v>
      </c>
      <c r="I35" s="106"/>
      <c r="J35" s="107"/>
    </row>
    <row r="36">
      <c r="A36" s="8">
        <f t="shared" si="5"/>
        <v>35</v>
      </c>
      <c r="B36" s="46" t="s">
        <v>227</v>
      </c>
      <c r="C36" s="105">
        <v>17000.0</v>
      </c>
      <c r="D36" s="7">
        <f t="shared" si="2"/>
        <v>10200</v>
      </c>
      <c r="E36" s="7">
        <f t="shared" ref="E36:F36" si="38">if($D36&lt;15000,$D36*12/100,15000*12/100)</f>
        <v>1224</v>
      </c>
      <c r="F36" s="7">
        <f t="shared" si="38"/>
        <v>1224</v>
      </c>
      <c r="G36" s="7">
        <f t="shared" si="4"/>
        <v>2448</v>
      </c>
      <c r="I36" s="106"/>
      <c r="J36" s="107"/>
    </row>
    <row r="37">
      <c r="A37" s="8">
        <f t="shared" si="5"/>
        <v>36</v>
      </c>
      <c r="B37" s="46" t="s">
        <v>377</v>
      </c>
      <c r="C37" s="108">
        <v>18694.0</v>
      </c>
      <c r="D37" s="7">
        <f t="shared" si="2"/>
        <v>11216.4</v>
      </c>
      <c r="E37" s="7">
        <f t="shared" ref="E37:F37" si="39">if($D37&lt;15000,$D37*12/100,15000*12/100)</f>
        <v>1345.968</v>
      </c>
      <c r="F37" s="7">
        <f t="shared" si="39"/>
        <v>1345.968</v>
      </c>
      <c r="G37" s="7">
        <f t="shared" si="4"/>
        <v>2691.936</v>
      </c>
      <c r="I37" s="106"/>
      <c r="J37" s="106"/>
    </row>
    <row r="38">
      <c r="A38" s="8">
        <f t="shared" si="5"/>
        <v>37</v>
      </c>
      <c r="B38" s="40" t="s">
        <v>419</v>
      </c>
      <c r="C38" s="108">
        <v>16000.0</v>
      </c>
      <c r="D38" s="7">
        <f t="shared" si="2"/>
        <v>9600</v>
      </c>
      <c r="E38" s="7">
        <f t="shared" ref="E38:F38" si="40">if($D38&lt;15000,$D38*12/100,15000*12/100)</f>
        <v>1152</v>
      </c>
      <c r="F38" s="7">
        <f t="shared" si="40"/>
        <v>1152</v>
      </c>
      <c r="G38" s="7">
        <f t="shared" si="4"/>
        <v>2304</v>
      </c>
      <c r="I38" s="106"/>
      <c r="J38" s="107"/>
    </row>
    <row r="39">
      <c r="A39" s="8">
        <f t="shared" si="5"/>
        <v>38</v>
      </c>
      <c r="B39" s="40" t="s">
        <v>220</v>
      </c>
      <c r="C39" s="108">
        <v>27056.0</v>
      </c>
      <c r="D39" s="7">
        <f t="shared" si="2"/>
        <v>16233.6</v>
      </c>
      <c r="E39" s="7">
        <f t="shared" ref="E39:F39" si="41">if($D39&lt;15000,$D39*12/100,15000*12/100)</f>
        <v>1800</v>
      </c>
      <c r="F39" s="7">
        <f t="shared" si="41"/>
        <v>1800</v>
      </c>
      <c r="G39" s="7">
        <f t="shared" si="4"/>
        <v>3600</v>
      </c>
      <c r="I39" s="106"/>
      <c r="J39" s="106"/>
    </row>
    <row r="40">
      <c r="A40" s="8">
        <f t="shared" si="5"/>
        <v>39</v>
      </c>
      <c r="B40" s="40" t="s">
        <v>235</v>
      </c>
      <c r="C40" s="108">
        <v>22000.0</v>
      </c>
      <c r="D40" s="7">
        <f t="shared" si="2"/>
        <v>13200</v>
      </c>
      <c r="E40" s="7">
        <f t="shared" ref="E40:F40" si="42">if($D40&lt;15000,$D40*12/100,15000*12/100)</f>
        <v>1584</v>
      </c>
      <c r="F40" s="7">
        <f t="shared" si="42"/>
        <v>1584</v>
      </c>
      <c r="G40" s="7">
        <f t="shared" si="4"/>
        <v>3168</v>
      </c>
      <c r="I40" s="106"/>
      <c r="J40" s="107"/>
    </row>
    <row r="41">
      <c r="A41" s="8">
        <f t="shared" si="5"/>
        <v>40</v>
      </c>
      <c r="B41" s="40" t="s">
        <v>275</v>
      </c>
      <c r="C41" s="108">
        <v>16000.0</v>
      </c>
      <c r="D41" s="7">
        <f t="shared" si="2"/>
        <v>9600</v>
      </c>
      <c r="E41" s="7">
        <f t="shared" ref="E41:F41" si="43">if($D41&lt;15000,$D41*12/100,15000*12/100)</f>
        <v>1152</v>
      </c>
      <c r="F41" s="7">
        <f t="shared" si="43"/>
        <v>1152</v>
      </c>
      <c r="G41" s="7">
        <f t="shared" si="4"/>
        <v>2304</v>
      </c>
      <c r="I41" s="106"/>
      <c r="J41" s="107"/>
    </row>
    <row r="42">
      <c r="A42" s="8">
        <f t="shared" si="5"/>
        <v>41</v>
      </c>
      <c r="B42" s="40" t="s">
        <v>421</v>
      </c>
      <c r="C42" s="108">
        <v>15000.0</v>
      </c>
      <c r="D42" s="7">
        <f t="shared" si="2"/>
        <v>9000</v>
      </c>
      <c r="E42" s="7">
        <f t="shared" ref="E42:F42" si="44">if($D42&lt;15000,$D42*12/100,15000*12/100)</f>
        <v>1080</v>
      </c>
      <c r="F42" s="7">
        <f t="shared" si="44"/>
        <v>1080</v>
      </c>
      <c r="G42" s="7">
        <f t="shared" si="4"/>
        <v>2160</v>
      </c>
      <c r="I42" s="106"/>
      <c r="J42" s="107"/>
    </row>
    <row r="43">
      <c r="A43" s="8">
        <f t="shared" si="5"/>
        <v>42</v>
      </c>
      <c r="B43" s="40" t="s">
        <v>422</v>
      </c>
      <c r="C43" s="108">
        <v>27000.0</v>
      </c>
      <c r="D43" s="7">
        <f t="shared" si="2"/>
        <v>16200</v>
      </c>
      <c r="E43" s="7">
        <f t="shared" ref="E43:F43" si="45">if($D43&lt;15000,$D43*12/100,15000*12/100)</f>
        <v>1800</v>
      </c>
      <c r="F43" s="7">
        <f t="shared" si="45"/>
        <v>1800</v>
      </c>
      <c r="G43" s="7">
        <f t="shared" si="4"/>
        <v>3600</v>
      </c>
      <c r="I43" s="106"/>
      <c r="J43" s="107"/>
    </row>
    <row r="44">
      <c r="A44" s="8">
        <f t="shared" si="5"/>
        <v>43</v>
      </c>
      <c r="B44" s="40" t="s">
        <v>423</v>
      </c>
      <c r="C44" s="108">
        <v>13000.0</v>
      </c>
      <c r="D44" s="7">
        <f t="shared" si="2"/>
        <v>7800</v>
      </c>
      <c r="E44" s="7">
        <f t="shared" ref="E44:F44" si="46">if($D44&lt;15000,$D44*12/100,15000*12/100)</f>
        <v>936</v>
      </c>
      <c r="F44" s="7">
        <f t="shared" si="46"/>
        <v>936</v>
      </c>
      <c r="G44" s="7">
        <f t="shared" si="4"/>
        <v>1872</v>
      </c>
      <c r="I44" s="106"/>
      <c r="J44" s="107"/>
    </row>
    <row r="45">
      <c r="A45" s="8">
        <f t="shared" si="5"/>
        <v>44</v>
      </c>
      <c r="B45" s="40" t="s">
        <v>443</v>
      </c>
      <c r="C45" s="108">
        <v>15000.0</v>
      </c>
      <c r="D45" s="7">
        <f t="shared" si="2"/>
        <v>9000</v>
      </c>
      <c r="E45" s="7">
        <f t="shared" ref="E45:F45" si="47">if($D45&lt;15000,$D45*12/100,15000*12/100)</f>
        <v>1080</v>
      </c>
      <c r="F45" s="7">
        <f t="shared" si="47"/>
        <v>1080</v>
      </c>
      <c r="G45" s="7">
        <f t="shared" si="4"/>
        <v>2160</v>
      </c>
      <c r="I45" s="106"/>
      <c r="J45" s="107"/>
    </row>
    <row r="46">
      <c r="A46" s="8">
        <f t="shared" si="5"/>
        <v>45</v>
      </c>
      <c r="B46" s="40" t="s">
        <v>425</v>
      </c>
      <c r="C46" s="108">
        <v>22629.0</v>
      </c>
      <c r="D46" s="7">
        <f t="shared" si="2"/>
        <v>13577.4</v>
      </c>
      <c r="E46" s="7">
        <f t="shared" ref="E46:F46" si="48">if($D46&lt;15000,$D46*12/100,15000*12/100)</f>
        <v>1629.288</v>
      </c>
      <c r="F46" s="7">
        <f t="shared" si="48"/>
        <v>1629.288</v>
      </c>
      <c r="G46" s="7">
        <f t="shared" si="4"/>
        <v>3258.576</v>
      </c>
      <c r="I46" s="106"/>
      <c r="J46" s="106"/>
    </row>
    <row r="47">
      <c r="A47" s="8">
        <f t="shared" si="5"/>
        <v>46</v>
      </c>
      <c r="B47" s="40" t="s">
        <v>444</v>
      </c>
      <c r="C47" s="108">
        <v>17000.0</v>
      </c>
      <c r="D47" s="7">
        <f t="shared" si="2"/>
        <v>10200</v>
      </c>
      <c r="E47" s="7">
        <f t="shared" ref="E47:F47" si="49">if($D47&lt;15000,$D47*12/100,15000*12/100)</f>
        <v>1224</v>
      </c>
      <c r="F47" s="7">
        <f t="shared" si="49"/>
        <v>1224</v>
      </c>
      <c r="G47" s="7">
        <f t="shared" si="4"/>
        <v>2448</v>
      </c>
      <c r="I47" s="106"/>
      <c r="J47" s="107"/>
    </row>
    <row r="48">
      <c r="A48" s="8">
        <f t="shared" si="5"/>
        <v>47</v>
      </c>
      <c r="B48" s="40" t="s">
        <v>427</v>
      </c>
      <c r="C48" s="108">
        <v>15484.0</v>
      </c>
      <c r="D48" s="7">
        <f t="shared" si="2"/>
        <v>9290.4</v>
      </c>
      <c r="E48" s="7">
        <f t="shared" ref="E48:F48" si="50">if($D48&lt;15000,$D48*12/100,15000*12/100)</f>
        <v>1114.848</v>
      </c>
      <c r="F48" s="7">
        <f t="shared" si="50"/>
        <v>1114.848</v>
      </c>
      <c r="G48" s="7">
        <f t="shared" si="4"/>
        <v>2229.696</v>
      </c>
      <c r="I48" s="106"/>
      <c r="J48" s="106"/>
    </row>
    <row r="49">
      <c r="A49" s="8">
        <f t="shared" si="5"/>
        <v>48</v>
      </c>
      <c r="B49" s="40" t="s">
        <v>429</v>
      </c>
      <c r="C49" s="108">
        <v>70000.0</v>
      </c>
      <c r="D49" s="7">
        <f t="shared" si="2"/>
        <v>42000</v>
      </c>
      <c r="E49" s="7">
        <f t="shared" ref="E49:F49" si="51">if($D49&lt;15000,$D49*12/100,15000*12/100)</f>
        <v>1800</v>
      </c>
      <c r="F49" s="7">
        <f t="shared" si="51"/>
        <v>1800</v>
      </c>
      <c r="G49" s="7">
        <f t="shared" si="4"/>
        <v>3600</v>
      </c>
      <c r="I49" s="106"/>
      <c r="J49" s="107"/>
    </row>
    <row r="50">
      <c r="A50" s="8">
        <f t="shared" si="5"/>
        <v>49</v>
      </c>
      <c r="B50" s="40" t="s">
        <v>430</v>
      </c>
      <c r="C50" s="108">
        <v>17419.0</v>
      </c>
      <c r="D50" s="7">
        <f t="shared" si="2"/>
        <v>10451.4</v>
      </c>
      <c r="E50" s="7">
        <f t="shared" ref="E50:F50" si="52">if($D50&lt;15000,$D50*12/100,15000*12/100)</f>
        <v>1254.168</v>
      </c>
      <c r="F50" s="7">
        <f t="shared" si="52"/>
        <v>1254.168</v>
      </c>
      <c r="G50" s="7">
        <f t="shared" si="4"/>
        <v>2508.336</v>
      </c>
      <c r="I50" s="106"/>
      <c r="J50" s="106"/>
    </row>
    <row r="51">
      <c r="A51" s="8">
        <f t="shared" si="5"/>
        <v>50</v>
      </c>
      <c r="B51" s="40" t="s">
        <v>432</v>
      </c>
      <c r="C51" s="108">
        <v>18000.0</v>
      </c>
      <c r="D51" s="7">
        <f t="shared" si="2"/>
        <v>10800</v>
      </c>
      <c r="E51" s="7">
        <f t="shared" ref="E51:F51" si="53">if($D51&lt;15000,$D51*12/100,15000*12/100)</f>
        <v>1296</v>
      </c>
      <c r="F51" s="7">
        <f t="shared" si="53"/>
        <v>1296</v>
      </c>
      <c r="G51" s="7">
        <f t="shared" si="4"/>
        <v>2592</v>
      </c>
      <c r="I51" s="106"/>
      <c r="J51" s="107"/>
    </row>
    <row r="52">
      <c r="A52" s="8">
        <f t="shared" si="5"/>
        <v>51</v>
      </c>
      <c r="B52" s="40" t="s">
        <v>433</v>
      </c>
      <c r="C52" s="108">
        <v>15000.0</v>
      </c>
      <c r="D52" s="7">
        <f t="shared" si="2"/>
        <v>9000</v>
      </c>
      <c r="E52" s="7">
        <f t="shared" ref="E52:F52" si="54">if($D52&lt;15000,$D52*12/100,15000*12/100)</f>
        <v>1080</v>
      </c>
      <c r="F52" s="7">
        <f t="shared" si="54"/>
        <v>1080</v>
      </c>
      <c r="G52" s="7">
        <f t="shared" si="4"/>
        <v>2160</v>
      </c>
      <c r="I52" s="106"/>
      <c r="J52" s="107"/>
    </row>
    <row r="53">
      <c r="A53" s="8">
        <f t="shared" si="5"/>
        <v>52</v>
      </c>
      <c r="B53" s="40" t="s">
        <v>445</v>
      </c>
      <c r="C53" s="108">
        <v>17000.0</v>
      </c>
      <c r="D53" s="7">
        <f t="shared" si="2"/>
        <v>10200</v>
      </c>
      <c r="E53" s="7">
        <f t="shared" ref="E53:F53" si="55">if($D53&lt;15000,$D53*12/100,15000*12/100)</f>
        <v>1224</v>
      </c>
      <c r="F53" s="7">
        <f t="shared" si="55"/>
        <v>1224</v>
      </c>
      <c r="G53" s="7">
        <f t="shared" si="4"/>
        <v>2448</v>
      </c>
      <c r="I53" s="106"/>
      <c r="J53" s="107"/>
    </row>
    <row r="54">
      <c r="A54" s="8">
        <f t="shared" si="5"/>
        <v>53</v>
      </c>
      <c r="B54" s="40" t="s">
        <v>446</v>
      </c>
      <c r="C54" s="108">
        <v>17419.0</v>
      </c>
      <c r="D54" s="7">
        <f t="shared" si="2"/>
        <v>10451.4</v>
      </c>
      <c r="E54" s="7">
        <f t="shared" ref="E54:F54" si="56">if($D54&lt;15000,$D54*12/100,15000*12/100)</f>
        <v>1254.168</v>
      </c>
      <c r="F54" s="7">
        <f t="shared" si="56"/>
        <v>1254.168</v>
      </c>
      <c r="G54" s="7">
        <f t="shared" si="4"/>
        <v>2508.336</v>
      </c>
      <c r="I54" s="106"/>
      <c r="J54" s="106"/>
    </row>
    <row r="55">
      <c r="A55" s="8">
        <f t="shared" si="5"/>
        <v>54</v>
      </c>
      <c r="B55" s="40" t="s">
        <v>448</v>
      </c>
      <c r="C55" s="108">
        <v>42000.0</v>
      </c>
      <c r="D55" s="7">
        <f t="shared" si="2"/>
        <v>25200</v>
      </c>
      <c r="E55" s="7">
        <f t="shared" ref="E55:F55" si="57">if($D55&lt;15000,$D55*12/100,15000*12/100)</f>
        <v>1800</v>
      </c>
      <c r="F55" s="7">
        <f t="shared" si="57"/>
        <v>1800</v>
      </c>
      <c r="G55" s="7">
        <f t="shared" si="4"/>
        <v>3600</v>
      </c>
      <c r="I55" s="106"/>
      <c r="J55" s="107"/>
    </row>
    <row r="56">
      <c r="A56" s="8">
        <f t="shared" si="5"/>
        <v>55</v>
      </c>
      <c r="B56" s="40" t="s">
        <v>450</v>
      </c>
      <c r="C56" s="108">
        <v>43000.0</v>
      </c>
      <c r="D56" s="7">
        <f t="shared" si="2"/>
        <v>25800</v>
      </c>
      <c r="E56" s="7">
        <f t="shared" ref="E56:F56" si="58">if($D56&lt;15000,$D56*12/100,15000*12/100)</f>
        <v>1800</v>
      </c>
      <c r="F56" s="7">
        <f t="shared" si="58"/>
        <v>1800</v>
      </c>
      <c r="G56" s="7">
        <f t="shared" si="4"/>
        <v>3600</v>
      </c>
      <c r="I56" s="106"/>
      <c r="J56" s="107"/>
    </row>
    <row r="57">
      <c r="A57" s="8">
        <f t="shared" si="5"/>
        <v>56</v>
      </c>
      <c r="B57" s="40" t="s">
        <v>451</v>
      </c>
      <c r="C57" s="108">
        <v>40000.0</v>
      </c>
      <c r="D57" s="7">
        <f t="shared" si="2"/>
        <v>24000</v>
      </c>
      <c r="E57" s="7">
        <f t="shared" ref="E57:F57" si="59">if($D57&lt;15000,$D57*12/100,15000*12/100)</f>
        <v>1800</v>
      </c>
      <c r="F57" s="7">
        <f t="shared" si="59"/>
        <v>1800</v>
      </c>
      <c r="G57" s="7">
        <f t="shared" si="4"/>
        <v>3600</v>
      </c>
      <c r="I57" s="106"/>
      <c r="J57" s="107"/>
    </row>
    <row r="58">
      <c r="A58" s="8">
        <f t="shared" si="5"/>
        <v>57</v>
      </c>
      <c r="B58" s="40" t="s">
        <v>452</v>
      </c>
      <c r="C58" s="105">
        <v>16000.0</v>
      </c>
      <c r="D58" s="7">
        <f t="shared" si="2"/>
        <v>9600</v>
      </c>
      <c r="E58" s="7">
        <f t="shared" ref="E58:F58" si="60">if($D58&lt;15000,$D58*12/100,15000*12/100)</f>
        <v>1152</v>
      </c>
      <c r="F58" s="7">
        <f t="shared" si="60"/>
        <v>1152</v>
      </c>
      <c r="G58" s="7">
        <f t="shared" si="4"/>
        <v>2304</v>
      </c>
      <c r="I58" s="106"/>
      <c r="J58" s="107"/>
    </row>
    <row r="59">
      <c r="A59" s="8">
        <f t="shared" si="5"/>
        <v>58</v>
      </c>
      <c r="B59" s="40" t="s">
        <v>454</v>
      </c>
      <c r="C59" s="105">
        <v>37000.0</v>
      </c>
      <c r="D59" s="7">
        <f t="shared" si="2"/>
        <v>22200</v>
      </c>
      <c r="E59" s="7">
        <f t="shared" ref="E59:F59" si="61">if($D59&lt;15000,$D59*12/100,15000*12/100)</f>
        <v>1800</v>
      </c>
      <c r="F59" s="7">
        <f t="shared" si="61"/>
        <v>1800</v>
      </c>
      <c r="G59" s="7">
        <f t="shared" si="4"/>
        <v>3600</v>
      </c>
      <c r="I59" s="106"/>
      <c r="J59" s="107"/>
    </row>
    <row r="60">
      <c r="A60" s="8">
        <f t="shared" si="5"/>
        <v>59</v>
      </c>
      <c r="B60" s="40" t="s">
        <v>455</v>
      </c>
      <c r="C60" s="105">
        <v>22581.0</v>
      </c>
      <c r="D60" s="7">
        <f t="shared" si="2"/>
        <v>13548.6</v>
      </c>
      <c r="E60" s="7">
        <f t="shared" ref="E60:F60" si="62">if($D60&lt;15000,$D60*12/100,15000*12/100)</f>
        <v>1625.832</v>
      </c>
      <c r="F60" s="7">
        <f t="shared" si="62"/>
        <v>1625.832</v>
      </c>
      <c r="G60" s="7">
        <f t="shared" si="4"/>
        <v>3251.664</v>
      </c>
      <c r="I60" s="106"/>
      <c r="J60" s="106"/>
    </row>
    <row r="61">
      <c r="A61" s="8">
        <f t="shared" si="5"/>
        <v>60</v>
      </c>
      <c r="B61" s="40" t="s">
        <v>456</v>
      </c>
      <c r="C61" s="105">
        <v>15484.0</v>
      </c>
      <c r="D61" s="7">
        <f t="shared" si="2"/>
        <v>9290.4</v>
      </c>
      <c r="E61" s="7">
        <f t="shared" ref="E61:F61" si="63">if($D61&lt;15000,$D61*12/100,15000*12/100)</f>
        <v>1114.848</v>
      </c>
      <c r="F61" s="7">
        <f t="shared" si="63"/>
        <v>1114.848</v>
      </c>
      <c r="G61" s="7">
        <f t="shared" si="4"/>
        <v>2229.696</v>
      </c>
      <c r="I61" s="106"/>
      <c r="J61" s="106"/>
    </row>
    <row r="62">
      <c r="A62" s="8">
        <f t="shared" si="5"/>
        <v>61</v>
      </c>
      <c r="B62" s="40" t="s">
        <v>461</v>
      </c>
      <c r="C62" s="105">
        <v>15742.0</v>
      </c>
      <c r="D62" s="7">
        <f t="shared" si="2"/>
        <v>9445.2</v>
      </c>
      <c r="E62" s="7">
        <f t="shared" ref="E62:F62" si="64">if($D62&lt;15000,$D62*12/100,15000*12/100)</f>
        <v>1133.424</v>
      </c>
      <c r="F62" s="7">
        <f t="shared" si="64"/>
        <v>1133.424</v>
      </c>
      <c r="G62" s="7">
        <f t="shared" si="4"/>
        <v>2266.848</v>
      </c>
      <c r="I62" s="106"/>
      <c r="J62" s="106"/>
    </row>
    <row r="63">
      <c r="A63" s="8">
        <f t="shared" si="5"/>
        <v>62</v>
      </c>
      <c r="B63" s="40" t="s">
        <v>437</v>
      </c>
      <c r="C63" s="105">
        <v>24597.0</v>
      </c>
      <c r="D63" s="7">
        <f t="shared" si="2"/>
        <v>14758.2</v>
      </c>
      <c r="E63" s="7">
        <f t="shared" ref="E63:F63" si="65">if($D63&lt;15000,$D63*12/100,15000*12/100)</f>
        <v>1770.984</v>
      </c>
      <c r="F63" s="7">
        <f t="shared" si="65"/>
        <v>1770.984</v>
      </c>
      <c r="G63" s="7">
        <f t="shared" si="4"/>
        <v>3541.968</v>
      </c>
      <c r="I63" s="106"/>
      <c r="J63" s="106"/>
    </row>
    <row r="64">
      <c r="A64" s="8">
        <f t="shared" si="5"/>
        <v>63</v>
      </c>
      <c r="B64" s="40" t="s">
        <v>463</v>
      </c>
      <c r="C64" s="105">
        <v>16000.0</v>
      </c>
      <c r="D64" s="7">
        <f t="shared" si="2"/>
        <v>9600</v>
      </c>
      <c r="E64" s="7">
        <f t="shared" ref="E64:F64" si="66">if($D64&lt;15000,$D64*12/100,15000*12/100)</f>
        <v>1152</v>
      </c>
      <c r="F64" s="7">
        <f t="shared" si="66"/>
        <v>1152</v>
      </c>
      <c r="G64" s="7">
        <f t="shared" si="4"/>
        <v>2304</v>
      </c>
      <c r="I64" s="106"/>
      <c r="J64" s="107"/>
    </row>
    <row r="65">
      <c r="A65" s="8">
        <f t="shared" si="5"/>
        <v>64</v>
      </c>
      <c r="B65" s="40" t="s">
        <v>469</v>
      </c>
      <c r="C65" s="105">
        <v>17000.0</v>
      </c>
      <c r="D65" s="7">
        <f t="shared" si="2"/>
        <v>10200</v>
      </c>
      <c r="E65" s="7">
        <f t="shared" ref="E65:F65" si="67">if($D65&lt;15000,$D65*12/100,15000*12/100)</f>
        <v>1224</v>
      </c>
      <c r="F65" s="7">
        <f t="shared" si="67"/>
        <v>1224</v>
      </c>
      <c r="G65" s="7">
        <f t="shared" si="4"/>
        <v>2448</v>
      </c>
      <c r="I65" s="106"/>
      <c r="J65" s="107"/>
    </row>
    <row r="66">
      <c r="A66" s="8">
        <f t="shared" si="5"/>
        <v>65</v>
      </c>
      <c r="B66" s="87" t="s">
        <v>470</v>
      </c>
      <c r="C66" s="105">
        <v>12000.0</v>
      </c>
      <c r="D66" s="7">
        <f t="shared" si="2"/>
        <v>7200</v>
      </c>
      <c r="E66" s="7">
        <f t="shared" ref="E66:F66" si="68">if($D66&lt;15000,$D66*12/100,15000*12/100)</f>
        <v>864</v>
      </c>
      <c r="F66" s="7">
        <f t="shared" si="68"/>
        <v>864</v>
      </c>
      <c r="G66" s="7">
        <f t="shared" si="4"/>
        <v>1728</v>
      </c>
      <c r="I66" s="106"/>
      <c r="J66" s="107"/>
    </row>
    <row r="67">
      <c r="A67" s="8">
        <f t="shared" si="5"/>
        <v>66</v>
      </c>
      <c r="B67" s="40" t="s">
        <v>471</v>
      </c>
      <c r="C67" s="105">
        <v>14000.0</v>
      </c>
      <c r="D67" s="7">
        <f t="shared" si="2"/>
        <v>8400</v>
      </c>
      <c r="E67" s="7">
        <f t="shared" ref="E67:F67" si="69">if($D67&lt;15000,$D67*12/100,15000*12/100)</f>
        <v>1008</v>
      </c>
      <c r="F67" s="7">
        <f t="shared" si="69"/>
        <v>1008</v>
      </c>
      <c r="G67" s="7">
        <f t="shared" si="4"/>
        <v>2016</v>
      </c>
      <c r="I67" s="106"/>
      <c r="J67" s="107"/>
    </row>
    <row r="68">
      <c r="A68" s="8">
        <f t="shared" si="5"/>
        <v>67</v>
      </c>
      <c r="B68" s="40" t="s">
        <v>477</v>
      </c>
      <c r="C68" s="105">
        <v>13000.0</v>
      </c>
      <c r="D68" s="7">
        <f t="shared" si="2"/>
        <v>7800</v>
      </c>
      <c r="E68" s="7">
        <f t="shared" ref="E68:F68" si="70">if($D68&lt;15000,$D68*12/100,15000*12/100)</f>
        <v>936</v>
      </c>
      <c r="F68" s="7">
        <f t="shared" si="70"/>
        <v>936</v>
      </c>
      <c r="G68" s="7">
        <f t="shared" si="4"/>
        <v>1872</v>
      </c>
      <c r="I68" s="106"/>
      <c r="J68" s="107"/>
    </row>
    <row r="69">
      <c r="A69" s="8">
        <f t="shared" si="5"/>
        <v>68</v>
      </c>
      <c r="B69" s="40" t="s">
        <v>482</v>
      </c>
      <c r="C69" s="105">
        <v>29000.0</v>
      </c>
      <c r="D69" s="7">
        <f t="shared" si="2"/>
        <v>17400</v>
      </c>
      <c r="E69" s="7">
        <f t="shared" ref="E69:F69" si="71">if($D69&lt;15000,$D69*12/100,15000*12/100)</f>
        <v>1800</v>
      </c>
      <c r="F69" s="7">
        <f t="shared" si="71"/>
        <v>1800</v>
      </c>
      <c r="G69" s="7">
        <f t="shared" si="4"/>
        <v>3600</v>
      </c>
      <c r="I69" s="106"/>
      <c r="J69" s="107"/>
    </row>
    <row r="70">
      <c r="A70" s="8">
        <f t="shared" si="5"/>
        <v>69</v>
      </c>
      <c r="B70" s="40" t="s">
        <v>486</v>
      </c>
      <c r="C70" s="105">
        <v>23226.0</v>
      </c>
      <c r="D70" s="7">
        <f t="shared" si="2"/>
        <v>13935.6</v>
      </c>
      <c r="E70" s="7">
        <f t="shared" ref="E70:F70" si="72">if($D70&lt;15000,$D70*12/100,15000*12/100)</f>
        <v>1672.272</v>
      </c>
      <c r="F70" s="7">
        <f t="shared" si="72"/>
        <v>1672.272</v>
      </c>
      <c r="G70" s="7">
        <f t="shared" si="4"/>
        <v>3344.544</v>
      </c>
      <c r="I70" s="106"/>
      <c r="J70" s="106"/>
    </row>
    <row r="71">
      <c r="A71" s="8">
        <f t="shared" si="5"/>
        <v>70</v>
      </c>
      <c r="B71" s="40" t="s">
        <v>487</v>
      </c>
      <c r="C71" s="105">
        <v>6742.0</v>
      </c>
      <c r="D71" s="7">
        <f t="shared" si="2"/>
        <v>4045.2</v>
      </c>
      <c r="E71" s="7">
        <f t="shared" ref="E71:F71" si="73">if($D71&lt;15000,$D71*12/100,15000*12/100)</f>
        <v>485.424</v>
      </c>
      <c r="F71" s="7">
        <f t="shared" si="73"/>
        <v>485.424</v>
      </c>
      <c r="G71" s="7">
        <f t="shared" si="4"/>
        <v>970.848</v>
      </c>
      <c r="I71" s="106"/>
      <c r="J71" s="106"/>
    </row>
    <row r="72">
      <c r="A72" s="8">
        <f t="shared" si="5"/>
        <v>71</v>
      </c>
      <c r="B72" s="40" t="s">
        <v>478</v>
      </c>
      <c r="C72" s="105">
        <v>9000.0</v>
      </c>
      <c r="D72" s="7">
        <f t="shared" si="2"/>
        <v>5400</v>
      </c>
      <c r="E72" s="7">
        <f t="shared" ref="E72:F72" si="74">if($D72&lt;15000,$D72*12/100,15000*12/100)</f>
        <v>648</v>
      </c>
      <c r="F72" s="7">
        <f t="shared" si="74"/>
        <v>648</v>
      </c>
      <c r="G72" s="7">
        <f t="shared" si="4"/>
        <v>1296</v>
      </c>
      <c r="I72" s="106"/>
      <c r="J72" s="107"/>
    </row>
    <row r="73">
      <c r="A73" s="8">
        <f t="shared" si="5"/>
        <v>72</v>
      </c>
      <c r="B73" s="40" t="s">
        <v>283</v>
      </c>
      <c r="C73" s="105">
        <v>10000.0</v>
      </c>
      <c r="D73" s="7">
        <f t="shared" si="2"/>
        <v>6000</v>
      </c>
      <c r="E73" s="7">
        <f t="shared" ref="E73:F73" si="75">if($D73&lt;15000,$D73*12/100,15000*12/100)</f>
        <v>720</v>
      </c>
      <c r="F73" s="7">
        <f t="shared" si="75"/>
        <v>720</v>
      </c>
      <c r="G73" s="7">
        <f t="shared" si="4"/>
        <v>1440</v>
      </c>
      <c r="I73" s="106"/>
      <c r="J73" s="107"/>
    </row>
    <row r="74">
      <c r="A74" s="8">
        <f t="shared" si="5"/>
        <v>73</v>
      </c>
      <c r="B74" s="40" t="s">
        <v>479</v>
      </c>
      <c r="C74" s="105">
        <v>8000.0</v>
      </c>
      <c r="D74" s="7">
        <f t="shared" si="2"/>
        <v>4800</v>
      </c>
      <c r="E74" s="7">
        <f t="shared" ref="E74:F74" si="76">if($D74&lt;15000,$D74*12/100,15000*12/100)</f>
        <v>576</v>
      </c>
      <c r="F74" s="7">
        <f t="shared" si="76"/>
        <v>576</v>
      </c>
      <c r="G74" s="7">
        <f t="shared" si="4"/>
        <v>1152</v>
      </c>
      <c r="I74" s="106"/>
      <c r="J74" s="107"/>
    </row>
    <row r="75">
      <c r="A75" s="8">
        <f t="shared" si="5"/>
        <v>74</v>
      </c>
      <c r="B75" s="40" t="s">
        <v>285</v>
      </c>
      <c r="C75" s="105">
        <v>9000.0</v>
      </c>
      <c r="D75" s="7">
        <f t="shared" si="2"/>
        <v>5400</v>
      </c>
      <c r="E75" s="7">
        <f t="shared" ref="E75:F75" si="77">if($D75&lt;15000,$D75*12/100,15000*12/100)</f>
        <v>648</v>
      </c>
      <c r="F75" s="7">
        <f t="shared" si="77"/>
        <v>648</v>
      </c>
      <c r="G75" s="7">
        <f t="shared" si="4"/>
        <v>1296</v>
      </c>
      <c r="I75" s="106"/>
      <c r="J75" s="107"/>
    </row>
    <row r="76">
      <c r="A76" s="8">
        <f t="shared" si="5"/>
        <v>75</v>
      </c>
      <c r="B76" s="40" t="s">
        <v>457</v>
      </c>
      <c r="C76" s="7">
        <v>8000.0</v>
      </c>
      <c r="D76" s="7">
        <f t="shared" si="2"/>
        <v>4800</v>
      </c>
      <c r="E76" s="7">
        <f t="shared" ref="E76:F76" si="78">if($D76&lt;15000,$D76*12/100,15000*12/100)</f>
        <v>576</v>
      </c>
      <c r="F76" s="7">
        <f t="shared" si="78"/>
        <v>576</v>
      </c>
      <c r="G76" s="7">
        <f t="shared" si="4"/>
        <v>1152</v>
      </c>
      <c r="I76" s="109"/>
      <c r="J76" s="107"/>
    </row>
    <row r="77">
      <c r="A77" s="8">
        <f t="shared" si="5"/>
        <v>76</v>
      </c>
      <c r="B77" s="40" t="s">
        <v>384</v>
      </c>
      <c r="C77" s="105">
        <v>30000.0</v>
      </c>
      <c r="D77" s="7">
        <f t="shared" si="2"/>
        <v>18000</v>
      </c>
      <c r="E77" s="7">
        <f t="shared" ref="E77:F77" si="79">if($D77&lt;15000,$D77*12/100,15000*12/100)</f>
        <v>1800</v>
      </c>
      <c r="F77" s="7">
        <f t="shared" si="79"/>
        <v>1800</v>
      </c>
      <c r="G77" s="7">
        <f t="shared" si="4"/>
        <v>3600</v>
      </c>
      <c r="I77" s="106"/>
      <c r="J77" s="107"/>
    </row>
    <row r="78">
      <c r="A78" s="8">
        <f t="shared" si="5"/>
        <v>77</v>
      </c>
      <c r="B78" s="40" t="s">
        <v>472</v>
      </c>
      <c r="C78" s="105">
        <v>23790.0</v>
      </c>
      <c r="D78" s="7">
        <f t="shared" si="2"/>
        <v>14274</v>
      </c>
      <c r="E78" s="7">
        <f t="shared" ref="E78:F78" si="80">if($D78&lt;15000,$D78*12/100,15000*12/100)</f>
        <v>1712.88</v>
      </c>
      <c r="F78" s="7">
        <f t="shared" si="80"/>
        <v>1712.88</v>
      </c>
      <c r="G78" s="7">
        <f t="shared" si="4"/>
        <v>3425.76</v>
      </c>
      <c r="I78" s="106"/>
      <c r="J78" s="106"/>
    </row>
    <row r="79">
      <c r="A79" s="8">
        <f t="shared" si="5"/>
        <v>78</v>
      </c>
      <c r="B79" s="40" t="s">
        <v>473</v>
      </c>
      <c r="C79" s="105">
        <v>15903.0</v>
      </c>
      <c r="D79" s="7">
        <f t="shared" si="2"/>
        <v>9541.8</v>
      </c>
      <c r="E79" s="7">
        <f t="shared" ref="E79:F79" si="81">if($D79&lt;15000,$D79*12/100,15000*12/100)</f>
        <v>1145.016</v>
      </c>
      <c r="F79" s="7">
        <f t="shared" si="81"/>
        <v>1145.016</v>
      </c>
      <c r="G79" s="7">
        <f t="shared" si="4"/>
        <v>2290.032</v>
      </c>
      <c r="I79" s="106"/>
      <c r="J79" s="106"/>
    </row>
    <row r="80">
      <c r="A80" s="8">
        <f t="shared" si="5"/>
        <v>79</v>
      </c>
      <c r="B80" s="40" t="s">
        <v>263</v>
      </c>
      <c r="C80" s="105">
        <v>15387.0</v>
      </c>
      <c r="D80" s="7">
        <f t="shared" si="2"/>
        <v>9232.2</v>
      </c>
      <c r="E80" s="7">
        <f t="shared" ref="E80:F80" si="82">if($D80&lt;15000,$D80*12/100,15000*12/100)</f>
        <v>1107.864</v>
      </c>
      <c r="F80" s="7">
        <f t="shared" si="82"/>
        <v>1107.864</v>
      </c>
      <c r="G80" s="7">
        <f t="shared" si="4"/>
        <v>2215.728</v>
      </c>
      <c r="I80" s="106"/>
      <c r="J80" s="106"/>
    </row>
    <row r="81">
      <c r="A81" s="8">
        <f t="shared" si="5"/>
        <v>80</v>
      </c>
      <c r="B81" s="40" t="s">
        <v>389</v>
      </c>
      <c r="C81" s="105">
        <v>20000.0</v>
      </c>
      <c r="D81" s="7">
        <f t="shared" si="2"/>
        <v>12000</v>
      </c>
      <c r="E81" s="7">
        <f t="shared" ref="E81:F81" si="83">if($D81&lt;15000,$D81*12/100,15000*12/100)</f>
        <v>1440</v>
      </c>
      <c r="F81" s="7">
        <f t="shared" si="83"/>
        <v>1440</v>
      </c>
      <c r="G81" s="7">
        <f t="shared" si="4"/>
        <v>2880</v>
      </c>
      <c r="I81" s="106"/>
      <c r="J81" s="107"/>
    </row>
    <row r="82">
      <c r="A82" s="8">
        <f t="shared" si="5"/>
        <v>81</v>
      </c>
      <c r="B82" s="40" t="s">
        <v>465</v>
      </c>
      <c r="C82" s="105">
        <v>25000.0</v>
      </c>
      <c r="D82" s="7">
        <f t="shared" si="2"/>
        <v>15000</v>
      </c>
      <c r="E82" s="7">
        <f t="shared" ref="E82:F82" si="84">if($D82&lt;15000,$D82*12/100,15000*12/100)</f>
        <v>1800</v>
      </c>
      <c r="F82" s="7">
        <f t="shared" si="84"/>
        <v>1800</v>
      </c>
      <c r="G82" s="7">
        <f t="shared" si="4"/>
        <v>3600</v>
      </c>
      <c r="I82" s="106"/>
      <c r="J82" s="107"/>
    </row>
    <row r="83">
      <c r="A83" s="8">
        <f t="shared" si="5"/>
        <v>82</v>
      </c>
      <c r="B83" s="40" t="s">
        <v>466</v>
      </c>
      <c r="C83" s="105">
        <v>22452.0</v>
      </c>
      <c r="D83" s="7">
        <f t="shared" si="2"/>
        <v>13471.2</v>
      </c>
      <c r="E83" s="7">
        <f t="shared" ref="E83:F83" si="85">if($D83&lt;15000,$D83*12/100,15000*12/100)</f>
        <v>1616.544</v>
      </c>
      <c r="F83" s="7">
        <f t="shared" si="85"/>
        <v>1616.544</v>
      </c>
      <c r="G83" s="7">
        <f t="shared" si="4"/>
        <v>3233.088</v>
      </c>
      <c r="I83" s="106"/>
      <c r="J83" s="106"/>
    </row>
    <row r="84">
      <c r="A84" s="8">
        <f t="shared" si="5"/>
        <v>83</v>
      </c>
      <c r="B84" s="30" t="s">
        <v>440</v>
      </c>
      <c r="C84" s="105">
        <v>25000.0</v>
      </c>
      <c r="D84" s="7">
        <f t="shared" si="2"/>
        <v>15000</v>
      </c>
      <c r="E84" s="7">
        <f t="shared" ref="E84:F84" si="86">if($D84&lt;15000,$D84*12/100,15000*12/100)</f>
        <v>1800</v>
      </c>
      <c r="F84" s="7">
        <f t="shared" si="86"/>
        <v>1800</v>
      </c>
      <c r="G84" s="7">
        <f t="shared" si="4"/>
        <v>3600</v>
      </c>
      <c r="I84" s="106"/>
      <c r="J84" s="107"/>
    </row>
    <row r="85">
      <c r="A85" s="8">
        <f t="shared" si="5"/>
        <v>84</v>
      </c>
      <c r="B85" s="30" t="s">
        <v>441</v>
      </c>
      <c r="C85" s="105">
        <v>23387.0</v>
      </c>
      <c r="D85" s="7">
        <f t="shared" si="2"/>
        <v>14032.2</v>
      </c>
      <c r="E85" s="7">
        <f t="shared" ref="E85:F85" si="87">if($D85&lt;15000,$D85*12/100,15000*12/100)</f>
        <v>1683.864</v>
      </c>
      <c r="F85" s="7">
        <f t="shared" si="87"/>
        <v>1683.864</v>
      </c>
      <c r="G85" s="7">
        <f t="shared" si="4"/>
        <v>3367.728</v>
      </c>
      <c r="I85" s="106"/>
      <c r="J85" s="106"/>
    </row>
    <row r="86">
      <c r="A86" s="8">
        <f t="shared" si="5"/>
        <v>85</v>
      </c>
      <c r="B86" s="40" t="s">
        <v>467</v>
      </c>
      <c r="C86" s="105">
        <v>16548.0</v>
      </c>
      <c r="D86" s="7">
        <f t="shared" si="2"/>
        <v>9928.8</v>
      </c>
      <c r="E86" s="7">
        <f t="shared" ref="E86:F86" si="88">if($D86&lt;15000,$D86*12/100,15000*12/100)</f>
        <v>1191.456</v>
      </c>
      <c r="F86" s="7">
        <f t="shared" si="88"/>
        <v>1191.456</v>
      </c>
      <c r="G86" s="7">
        <f t="shared" si="4"/>
        <v>2382.912</v>
      </c>
      <c r="I86" s="106"/>
      <c r="J86" s="106"/>
    </row>
    <row r="87">
      <c r="A87" s="8">
        <f t="shared" si="5"/>
        <v>86</v>
      </c>
      <c r="B87" s="40" t="s">
        <v>474</v>
      </c>
      <c r="C87" s="105">
        <v>18000.0</v>
      </c>
      <c r="D87" s="7">
        <f t="shared" si="2"/>
        <v>10800</v>
      </c>
      <c r="E87" s="7">
        <f t="shared" ref="E87:F87" si="89">if($D87&lt;15000,$D87*12/100,15000*12/100)</f>
        <v>1296</v>
      </c>
      <c r="F87" s="7">
        <f t="shared" si="89"/>
        <v>1296</v>
      </c>
      <c r="G87" s="7">
        <f t="shared" si="4"/>
        <v>2592</v>
      </c>
      <c r="I87" s="106"/>
      <c r="J87" s="107"/>
    </row>
    <row r="88">
      <c r="A88" s="8">
        <f t="shared" si="5"/>
        <v>87</v>
      </c>
      <c r="B88" s="40" t="s">
        <v>475</v>
      </c>
      <c r="C88" s="105">
        <v>27097.0</v>
      </c>
      <c r="D88" s="7">
        <f t="shared" si="2"/>
        <v>16258.2</v>
      </c>
      <c r="E88" s="7">
        <f t="shared" ref="E88:F88" si="90">if($D88&lt;15000,$D88*12/100,15000*12/100)</f>
        <v>1800</v>
      </c>
      <c r="F88" s="7">
        <f t="shared" si="90"/>
        <v>1800</v>
      </c>
      <c r="G88" s="7">
        <f t="shared" si="4"/>
        <v>3600</v>
      </c>
      <c r="I88" s="106"/>
      <c r="J88" s="106"/>
    </row>
    <row r="89">
      <c r="A89" s="8">
        <f t="shared" si="5"/>
        <v>88</v>
      </c>
      <c r="B89" s="40" t="s">
        <v>481</v>
      </c>
      <c r="C89" s="105">
        <v>18000.0</v>
      </c>
      <c r="D89" s="7">
        <f t="shared" si="2"/>
        <v>10800</v>
      </c>
      <c r="E89" s="7">
        <f t="shared" ref="E89:F89" si="91">if($D89&lt;15000,$D89*12/100,15000*12/100)</f>
        <v>1296</v>
      </c>
      <c r="F89" s="7">
        <f t="shared" si="91"/>
        <v>1296</v>
      </c>
      <c r="G89" s="7">
        <f t="shared" si="4"/>
        <v>2592</v>
      </c>
      <c r="I89" s="106"/>
      <c r="J89" s="107"/>
    </row>
    <row r="90">
      <c r="A90" s="8">
        <f t="shared" si="5"/>
        <v>89</v>
      </c>
      <c r="B90" s="40" t="s">
        <v>483</v>
      </c>
      <c r="C90" s="105">
        <v>18000.0</v>
      </c>
      <c r="D90" s="7">
        <f t="shared" si="2"/>
        <v>10800</v>
      </c>
      <c r="E90" s="7">
        <f t="shared" ref="E90:F90" si="92">if($D90&lt;15000,$D90*12/100,15000*12/100)</f>
        <v>1296</v>
      </c>
      <c r="F90" s="7">
        <f t="shared" si="92"/>
        <v>1296</v>
      </c>
      <c r="G90" s="7">
        <f t="shared" si="4"/>
        <v>2592</v>
      </c>
      <c r="I90" s="106"/>
      <c r="J90" s="107"/>
    </row>
    <row r="91">
      <c r="A91" s="8">
        <f t="shared" si="5"/>
        <v>90</v>
      </c>
      <c r="B91" s="40" t="s">
        <v>484</v>
      </c>
      <c r="C91" s="105">
        <v>18000.0</v>
      </c>
      <c r="D91" s="7">
        <f t="shared" si="2"/>
        <v>10800</v>
      </c>
      <c r="E91" s="7">
        <f t="shared" ref="E91:F91" si="93">if($D91&lt;15000,$D91*12/100,15000*12/100)</f>
        <v>1296</v>
      </c>
      <c r="F91" s="7">
        <f t="shared" si="93"/>
        <v>1296</v>
      </c>
      <c r="G91" s="7">
        <f t="shared" si="4"/>
        <v>2592</v>
      </c>
      <c r="I91" s="106"/>
      <c r="J91" s="107"/>
    </row>
    <row r="92">
      <c r="A92" s="9" t="s">
        <v>34</v>
      </c>
      <c r="B92" s="10"/>
      <c r="C92" s="11">
        <f t="shared" ref="C92:G92" si="94">sum(C2:C91)</f>
        <v>2119591</v>
      </c>
      <c r="D92" s="11">
        <f t="shared" si="94"/>
        <v>1271754.6</v>
      </c>
      <c r="E92" s="11">
        <f t="shared" si="94"/>
        <v>130601.16</v>
      </c>
      <c r="F92" s="11">
        <f t="shared" si="94"/>
        <v>130601.16</v>
      </c>
      <c r="G92" s="11">
        <f t="shared" si="94"/>
        <v>261202.32</v>
      </c>
    </row>
  </sheetData>
  <mergeCells count="1">
    <mergeCell ref="A92:B92"/>
  </mergeCells>
  <hyperlinks>
    <hyperlink r:id="rId1" ref="A1"/>
  </hyperlinks>
  <drawing r:id="rId2"/>
</worksheet>
</file>